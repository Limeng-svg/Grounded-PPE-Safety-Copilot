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1de7bd0c9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637ee8b75884cd8"/>
    <x:sheet xmlns:r="http://schemas.openxmlformats.org/officeDocument/2006/relationships" name="Task Breakdown" sheetId="2" r:id="Rffd04e64e8914bb0"/>
    <x:sheet xmlns:r="http://schemas.openxmlformats.org/officeDocument/2006/relationships" name="Tools &amp; Resources" sheetId="3" r:id="R53f02addfbef412e"/>
    <x:sheet xmlns:r="http://schemas.openxmlformats.org/officeDocument/2006/relationships" name="Glossary" sheetId="4" r:id="R2cbdbd00dfc9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8"/>
      <x:color rgb="FFFFFFFF"/>
      <x:name val="Arial"/>
    </x:font>
    <x:font>
      <x:i/>
      <x:sz val="11"/>
      <x:color rgb="FF44546A"/>
      <x:name val="Arial"/>
    </x:font>
    <x:font>
      <x:b/>
      <x:sz val="12"/>
      <x:color rgb="FFFFFFFF"/>
      <x:name val="Arial"/>
    </x:font>
    <x:font>
      <x:b/>
      <x:sz val="10"/>
      <x:color rgb="FF1F3864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2E7D32"/>
      <x:name val="Arial"/>
    </x:font>
    <x:font>
      <x:b/>
      <x:sz val="11"/>
      <x:color rgb="FFFFFFFF"/>
      <x:name val="Arial"/>
    </x:font>
    <x:font>
      <x:i/>
      <x:sz val="9"/>
      <x:color rgb="FF595959"/>
      <x:name val="Arial"/>
    </x:font>
    <x:font>
      <x:sz val="9"/>
      <x:color rgb="FF0563C1"/>
      <x:name val="Arial"/>
    </x:font>
    <x:font>
      <x:i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i/>
      <x:sz val="9"/>
      <x:color rgb="FF666666"/>
      <x:name val="Arial"/>
    </x:font>
    <x:font>
      <x:sz val="10"/>
      <x:color rgb="FF1F1F1F"/>
      <x:name val="Calibri"/>
    </x:font>
    <x:font>
      <x:i/>
      <x:sz val="9"/>
      <x:color rgb="FF666666"/>
      <x:name val="Calibri"/>
    </x:font>
    <x:font>
      <x:b/>
      <x:sz val="10"/>
      <x:color rgb="FF1F1F1F"/>
      <x:name val="Calibri"/>
    </x:font>
    <x:font>
      <x:b/>
      <x:sz val="18"/>
      <x:color rgb="FFFFFFFF"/>
      <x:name val="Calibri"/>
    </x:font>
    <x:font>
      <x:i/>
      <x:sz val="11"/>
      <x:color rgb="FF44546A"/>
      <x:name val="Calibri"/>
    </x:font>
    <x:font>
      <x:b/>
      <x:sz val="12"/>
      <x:color rgb="FFFFFFFF"/>
      <x:name val="Calibri"/>
    </x:font>
    <x:font>
      <x:b/>
      <x:sz val="10"/>
      <x:color rgb="FF203864"/>
      <x:name val="Arial"/>
    </x:font>
    <x:font>
      <x:b/>
      <x:sz val="10"/>
      <x:color rgb="FF203864"/>
      <x:name val="Calibri"/>
    </x:font>
    <x:font>
      <x:i/>
      <x:sz val="10"/>
      <x:color rgb="FF1F1F1F"/>
      <x:name val="Calibri"/>
    </x:font>
  </x:fonts>
  <x:fills count="32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E8EEF7"/>
      </x:patternFill>
    </x:fill>
    <x:fill>
      <x:patternFill patternType="solid">
        <x:fgColor rgb="FFFCE4D6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EAD1DC"/>
      </x:patternFill>
    </x:fill>
    <x:fill>
      <x:patternFill patternType="solid">
        <x:fgColor rgb="FFDDEBF7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D1DC"/>
      </x:patternFill>
    </x:fill>
    <x:fill>
      <x:patternFill patternType="solid">
        <x:fgColor rgb="FFDDEBF7"/>
      </x:patternFill>
    </x:fill>
    <x:fill>
      <x:patternFill patternType="solid">
        <x:fgColor rgb="FF203864"/>
      </x:patternFill>
    </x:fill>
    <x:fill>
      <x:patternFill patternType="solid">
        <x:fgColor rgb="FF2F5597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D1DC"/>
      </x:patternFill>
    </x:fill>
    <x:fill>
      <x:patternFill patternType="solid">
        <x:fgColor rgb="FFDDEBF7"/>
      </x:patternFill>
    </x:fill>
    <x:fill>
      <x:patternFill patternType="solid">
        <x:fgColor rgb="FF203864"/>
      </x:patternFill>
    </x:fill>
    <x:fill>
      <x:patternFill patternType="solid">
        <x:fgColor rgb="FF2F5597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8C2D1"/>
      </x:left>
      <x:right style="thin">
        <x:color rgb="FFB8C2D1"/>
      </x:right>
      <x:top style="thin">
        <x:color rgb="FFB8C2D1"/>
      </x:top>
      <x:bottom style="thin">
        <x:color rgb="FFB8C2D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303">
    <x:xf numFmtId="0" fontId="0" fillId="0" borderId="0" xfId="0" applyAlignment="1">
      <x:alignment horizontal="general" vertical="bottom"/>
    </x:xf>
    <x:xf numFmtId="0" fontId="4" fillId="2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left" vertical="center"/>
    </x:xf>
    <x:xf numFmtId="0" fontId="7" fillId="0" borderId="0" xfId="0" applyAlignment="1">
      <x:alignment horizontal="left" vertical="top" wrapText="1"/>
    </x:xf>
    <x:xf numFmtId="0" fontId="8" fillId="0" borderId="0" xfId="0" applyAlignment="1">
      <x:alignment horizontal="left" vertical="top" wrapText="1"/>
    </x:xf>
    <x:xf numFmtId="0" fontId="9" fillId="0" borderId="0" xfId="0" applyAlignment="1">
      <x:alignment horizontal="general" vertical="bottom"/>
    </x:xf>
    <x:xf numFmtId="0" fontId="8" fillId="0" borderId="0" xfId="0" applyAlignment="1">
      <x:alignment horizontal="general" vertical="bottom"/>
    </x:xf>
    <x:xf numFmtId="9" fontId="10" fillId="0" borderId="0" xfId="0" applyAlignment="1">
      <x:alignment horizontal="general" vertical="bottom"/>
    </x:xf>
    <x:xf numFmtId="0" fontId="11" fillId="3" borderId="1" xfId="0" applyAlignment="1">
      <x:alignment horizontal="center" vertical="center" wrapText="1"/>
    </x:xf>
    <x:xf numFmtId="0" fontId="12" fillId="4" borderId="1" xfId="0" applyAlignment="1">
      <x:alignment horizontal="left" vertical="top" wrapText="1"/>
    </x:xf>
    <x:xf numFmtId="0" fontId="8" fillId="4" borderId="1" xfId="0" applyAlignment="1">
      <x:alignment horizontal="center" vertical="top" wrapText="1"/>
    </x:xf>
    <x:xf numFmtId="0" fontId="9" fillId="4" borderId="1" xfId="0" applyAlignment="1">
      <x:alignment horizontal="left" vertical="top" wrapText="1"/>
    </x:xf>
    <x:xf numFmtId="0" fontId="8" fillId="4" borderId="1" xfId="0" applyAlignment="1">
      <x:alignment horizontal="left" vertical="top" wrapText="1"/>
    </x:xf>
    <x:xf numFmtId="0" fontId="12" fillId="5" borderId="1" xfId="0" applyAlignment="1">
      <x:alignment horizontal="left" vertical="top" wrapText="1"/>
    </x:xf>
    <x:xf numFmtId="0" fontId="8" fillId="5" borderId="1" xfId="0" applyAlignment="1">
      <x:alignment horizontal="center" vertical="top" wrapText="1"/>
    </x:xf>
    <x:xf numFmtId="0" fontId="9" fillId="5" borderId="1" xfId="0" applyAlignment="1">
      <x:alignment horizontal="left" vertical="top" wrapText="1"/>
    </x:xf>
    <x:xf numFmtId="0" fontId="8" fillId="5" borderId="1" xfId="0" applyAlignment="1">
      <x:alignment horizontal="left" vertical="top" wrapText="1"/>
    </x:xf>
    <x:xf numFmtId="0" fontId="12" fillId="6" borderId="1" xfId="0" applyAlignment="1">
      <x:alignment horizontal="left" vertical="top" wrapText="1"/>
    </x:xf>
    <x:xf numFmtId="0" fontId="8" fillId="6" borderId="1" xfId="0" applyAlignment="1">
      <x:alignment horizontal="center" vertical="top" wrapText="1"/>
    </x:xf>
    <x:xf numFmtId="0" fontId="9" fillId="6" borderId="1" xfId="0" applyAlignment="1">
      <x:alignment horizontal="left" vertical="top" wrapText="1"/>
    </x:xf>
    <x:xf numFmtId="0" fontId="8" fillId="6" borderId="1" xfId="0" applyAlignment="1">
      <x:alignment horizontal="left" vertical="top" wrapText="1"/>
    </x:xf>
    <x:xf numFmtId="0" fontId="12" fillId="7" borderId="1" xfId="0" applyAlignment="1">
      <x:alignment horizontal="left" vertical="top" wrapText="1"/>
    </x:xf>
    <x:xf numFmtId="0" fontId="8" fillId="7" borderId="1" xfId="0" applyAlignment="1">
      <x:alignment horizontal="center" vertical="top" wrapText="1"/>
    </x:xf>
    <x:xf numFmtId="0" fontId="9" fillId="7" borderId="1" xfId="0" applyAlignment="1">
      <x:alignment horizontal="left" vertical="top" wrapText="1"/>
    </x:xf>
    <x:xf numFmtId="0" fontId="8" fillId="7" borderId="1" xfId="0" applyAlignment="1">
      <x:alignment horizontal="left" vertical="top" wrapText="1"/>
    </x:xf>
    <x:xf numFmtId="0" fontId="12" fillId="8" borderId="1" xfId="0" applyAlignment="1">
      <x:alignment horizontal="left" vertical="top" wrapText="1"/>
    </x:xf>
    <x:xf numFmtId="0" fontId="8" fillId="8" borderId="1" xfId="0" applyAlignment="1">
      <x:alignment horizontal="center" vertical="top" wrapText="1"/>
    </x:xf>
    <x:xf numFmtId="0" fontId="9" fillId="8" borderId="1" xfId="0" applyAlignment="1">
      <x:alignment horizontal="left" vertical="top" wrapText="1"/>
    </x:xf>
    <x:xf numFmtId="0" fontId="8" fillId="8" borderId="1" xfId="0" applyAlignment="1">
      <x:alignment horizontal="left" vertical="top" wrapText="1"/>
    </x:xf>
    <x:xf numFmtId="0" fontId="12" fillId="9" borderId="1" xfId="0" applyAlignment="1">
      <x:alignment horizontal="left" vertical="top" wrapText="1"/>
    </x:xf>
    <x:xf numFmtId="0" fontId="8" fillId="9" borderId="1" xfId="0" applyAlignment="1">
      <x:alignment horizontal="center" vertical="top" wrapText="1"/>
    </x:xf>
    <x:xf numFmtId="0" fontId="9" fillId="9" borderId="1" xfId="0" applyAlignment="1">
      <x:alignment horizontal="left" vertical="top" wrapText="1"/>
    </x:xf>
    <x:xf numFmtId="0" fontId="8" fillId="9" borderId="1" xfId="0" applyAlignment="1">
      <x:alignment horizontal="left" vertical="top" wrapText="1"/>
    </x:xf>
    <x:xf numFmtId="0" fontId="9" fillId="10" borderId="1" xfId="0" applyAlignment="1">
      <x:alignment horizontal="left" vertical="center" wrapText="1"/>
    </x:xf>
    <x:xf numFmtId="0" fontId="8" fillId="10" borderId="1" xfId="0" applyAlignment="1">
      <x:alignment horizontal="left" vertical="center" wrapText="1"/>
    </x:xf>
    <x:xf numFmtId="0" fontId="13" fillId="10" borderId="1" xfId="0" applyAlignment="1">
      <x:alignment horizontal="left" vertical="center" wrapText="1"/>
    </x:xf>
    <x:xf numFmtId="0" fontId="9" fillId="11" borderId="1" xfId="0" applyAlignment="1">
      <x:alignment horizontal="left" vertical="center" wrapText="1"/>
    </x:xf>
    <x:xf numFmtId="0" fontId="8" fillId="11" borderId="1" xfId="0" applyAlignment="1">
      <x:alignment horizontal="left" vertical="center" wrapText="1"/>
    </x:xf>
    <x:xf numFmtId="0" fontId="13" fillId="11" borderId="1" xfId="0" applyAlignment="1">
      <x:alignment horizontal="left" vertical="center" wrapText="1"/>
    </x:xf>
    <x:xf numFmtId="0" fontId="7" fillId="10" borderId="1" xfId="0" applyAlignment="1">
      <x:alignment horizontal="left" vertical="center" wrapText="1"/>
    </x:xf>
    <x:xf numFmtId="0" fontId="7" fillId="11" borderId="1" xfId="0" applyAlignment="1">
      <x:alignment horizontal="left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left" vertical="center"/>
    </x:xf>
    <x:xf numFmtId="0" fontId="7" fillId="0" borderId="0" xfId="0" applyAlignment="1">
      <x:alignment horizontal="left" vertical="top" wrapText="1"/>
    </x:xf>
    <x:xf numFmtId="0" fontId="8" fillId="0" borderId="0" xfId="0" applyAlignment="1">
      <x:alignment horizontal="left" vertical="top" wrapText="1"/>
    </x:xf>
    <x:xf numFmtId="0" fontId="9" fillId="0" borderId="0" xfId="0" applyAlignment="1">
      <x:alignment horizontal="general" vertical="bottom"/>
    </x:xf>
    <x:xf numFmtId="0" fontId="8" fillId="0" borderId="0" xfId="0" applyAlignment="1">
      <x:alignment horizontal="general" vertical="bottom"/>
    </x:xf>
    <x:xf numFmtId="9" fontId="10" fillId="0" borderId="0" xfId="0" applyAlignment="1">
      <x:alignment horizontal="general" vertical="bottom"/>
    </x:xf>
    <x:xf numFmtId="0" fontId="11" fillId="3" borderId="1" xfId="0" applyAlignment="1">
      <x:alignment horizontal="center" vertical="center" wrapText="1"/>
    </x:xf>
    <x:xf numFmtId="0" fontId="12" fillId="4" borderId="1" xfId="0" applyAlignment="1">
      <x:alignment horizontal="left" vertical="top" wrapText="1"/>
    </x:xf>
    <x:xf numFmtId="0" fontId="8" fillId="4" borderId="1" xfId="0" applyAlignment="1">
      <x:alignment horizontal="center" vertical="top" wrapText="1"/>
    </x:xf>
    <x:xf numFmtId="0" fontId="9" fillId="4" borderId="1" xfId="0" applyAlignment="1">
      <x:alignment horizontal="left" vertical="top" wrapText="1"/>
    </x:xf>
    <x:xf numFmtId="0" fontId="8" fillId="4" borderId="1" xfId="0" applyAlignment="1">
      <x:alignment horizontal="left" vertical="top" wrapText="1"/>
    </x:xf>
    <x:xf numFmtId="0" fontId="12" fillId="5" borderId="1" xfId="0" applyAlignment="1">
      <x:alignment horizontal="left" vertical="top" wrapText="1"/>
    </x:xf>
    <x:xf numFmtId="0" fontId="8" fillId="5" borderId="1" xfId="0" applyAlignment="1">
      <x:alignment horizontal="center" vertical="top" wrapText="1"/>
    </x:xf>
    <x:xf numFmtId="0" fontId="9" fillId="5" borderId="1" xfId="0" applyAlignment="1">
      <x:alignment horizontal="left" vertical="top" wrapText="1"/>
    </x:xf>
    <x:xf numFmtId="0" fontId="8" fillId="5" borderId="1" xfId="0" applyAlignment="1">
      <x:alignment horizontal="left" vertical="top" wrapText="1"/>
    </x:xf>
    <x:xf numFmtId="0" fontId="12" fillId="6" borderId="1" xfId="0" applyAlignment="1">
      <x:alignment horizontal="left" vertical="top" wrapText="1"/>
    </x:xf>
    <x:xf numFmtId="0" fontId="8" fillId="6" borderId="1" xfId="0" applyAlignment="1">
      <x:alignment horizontal="center" vertical="top" wrapText="1"/>
    </x:xf>
    <x:xf numFmtId="0" fontId="9" fillId="6" borderId="1" xfId="0" applyAlignment="1">
      <x:alignment horizontal="left" vertical="top" wrapText="1"/>
    </x:xf>
    <x:xf numFmtId="0" fontId="8" fillId="6" borderId="1" xfId="0" applyAlignment="1">
      <x:alignment horizontal="left" vertical="top" wrapText="1"/>
    </x:xf>
    <x:xf numFmtId="0" fontId="12" fillId="7" borderId="1" xfId="0" applyAlignment="1">
      <x:alignment horizontal="left" vertical="top" wrapText="1"/>
    </x:xf>
    <x:xf numFmtId="0" fontId="8" fillId="7" borderId="1" xfId="0" applyAlignment="1">
      <x:alignment horizontal="center" vertical="top" wrapText="1"/>
    </x:xf>
    <x:xf numFmtId="0" fontId="9" fillId="7" borderId="1" xfId="0" applyAlignment="1">
      <x:alignment horizontal="left" vertical="top" wrapText="1"/>
    </x:xf>
    <x:xf numFmtId="0" fontId="8" fillId="7" borderId="1" xfId="0" applyAlignment="1">
      <x:alignment horizontal="left" vertical="top" wrapText="1"/>
    </x:xf>
    <x:xf numFmtId="0" fontId="12" fillId="8" borderId="1" xfId="0" applyAlignment="1">
      <x:alignment horizontal="left" vertical="top" wrapText="1"/>
    </x:xf>
    <x:xf numFmtId="0" fontId="8" fillId="8" borderId="1" xfId="0" applyAlignment="1">
      <x:alignment horizontal="center" vertical="top" wrapText="1"/>
    </x:xf>
    <x:xf numFmtId="0" fontId="9" fillId="8" borderId="1" xfId="0" applyAlignment="1">
      <x:alignment horizontal="left" vertical="top" wrapText="1"/>
    </x:xf>
    <x:xf numFmtId="0" fontId="8" fillId="8" borderId="1" xfId="0" applyAlignment="1">
      <x:alignment horizontal="left" vertical="top" wrapText="1"/>
    </x:xf>
    <x:xf numFmtId="0" fontId="12" fillId="9" borderId="1" xfId="0" applyAlignment="1">
      <x:alignment horizontal="left" vertical="top" wrapText="1"/>
    </x:xf>
    <x:xf numFmtId="0" fontId="8" fillId="9" borderId="1" xfId="0" applyAlignment="1">
      <x:alignment horizontal="center" vertical="top" wrapText="1"/>
    </x:xf>
    <x:xf numFmtId="0" fontId="9" fillId="9" borderId="1" xfId="0" applyAlignment="1">
      <x:alignment horizontal="left" vertical="top" wrapText="1"/>
    </x:xf>
    <x:xf numFmtId="0" fontId="8" fillId="9" borderId="1" xfId="0" applyAlignment="1">
      <x:alignment horizontal="left" vertical="top" wrapText="1"/>
    </x:xf>
    <x:xf numFmtId="0" fontId="9" fillId="10" borderId="1" xfId="0" applyAlignment="1">
      <x:alignment horizontal="left" vertical="center" wrapText="1"/>
    </x:xf>
    <x:xf numFmtId="0" fontId="8" fillId="10" borderId="1" xfId="0" applyAlignment="1">
      <x:alignment horizontal="left" vertical="center" wrapText="1"/>
    </x:xf>
    <x:xf numFmtId="0" fontId="13" fillId="10" borderId="1" xfId="0" applyAlignment="1">
      <x:alignment horizontal="left" vertical="center" wrapText="1"/>
    </x:xf>
    <x:xf numFmtId="0" fontId="9" fillId="11" borderId="1" xfId="0" applyAlignment="1">
      <x:alignment horizontal="left" vertical="center" wrapText="1"/>
    </x:xf>
    <x:xf numFmtId="0" fontId="8" fillId="11" borderId="1" xfId="0" applyAlignment="1">
      <x:alignment horizontal="left" vertical="center" wrapText="1"/>
    </x:xf>
    <x:xf numFmtId="0" fontId="13" fillId="11" borderId="1" xfId="0" applyAlignment="1">
      <x:alignment horizontal="left" vertical="center" wrapText="1"/>
    </x:xf>
    <x:xf numFmtId="0" fontId="7" fillId="10" borderId="1" xfId="0" applyAlignment="1">
      <x:alignment horizontal="left" vertical="center" wrapText="1"/>
    </x:xf>
    <x:xf numFmtId="0" fontId="7" fillId="11" borderId="1" xfId="0" applyAlignment="1">
      <x:alignment horizontal="left" vertical="center" wrapText="1"/>
    </x:xf>
    <x:xf numFmtId="0" fontId="12" fillId="12" borderId="1" xfId="0" applyNumberFormat="1" applyFont="1" applyFill="1" applyBorder="1" applyAlignment="1">
      <x:alignment horizontal="left" vertical="top" wrapText="1"/>
    </x:xf>
    <x:xf numFmtId="0" fontId="1" fillId="12" borderId="1" xfId="0" applyNumberFormat="1" applyFont="1" applyFill="1" applyBorder="1" applyAlignment="1">
      <x:alignment horizontal="center" vertical="top" wrapText="1"/>
    </x:xf>
    <x:xf numFmtId="0" fontId="9" fillId="12" borderId="1" xfId="0" applyNumberFormat="1" applyFont="1" applyFill="1" applyBorder="1" applyAlignment="1">
      <x:alignment horizontal="left" vertical="top" wrapText="1"/>
    </x:xf>
    <x:xf numFmtId="0" fontId="1" fillId="12" borderId="1" xfId="0" applyNumberFormat="1" applyFont="1" applyFill="1" applyBorder="1" applyAlignment="1">
      <x:alignment horizontal="left" vertical="top" wrapText="1"/>
    </x:xf>
    <x:xf numFmtId="0" fontId="14" fillId="12" borderId="1" xfId="0" applyNumberFormat="1" applyFont="1" applyFill="1" applyBorder="1" applyAlignment="1">
      <x:alignment horizontal="left" vertical="top" wrapText="1"/>
    </x:xf>
    <x:xf numFmtId="0" fontId="15" fillId="12" borderId="1" xfId="0" applyNumberFormat="1" applyFont="1" applyFill="1" applyBorder="1" applyAlignment="1">
      <x:alignment horizontal="center" vertical="top" wrapText="1"/>
    </x:xf>
    <x:xf numFmtId="0" fontId="16" fillId="12" borderId="1" xfId="0" applyNumberFormat="1" applyFont="1" applyFill="1" applyBorder="1" applyAlignment="1">
      <x:alignment horizontal="left" vertical="top" wrapText="1"/>
    </x:xf>
    <x:xf numFmtId="0" fontId="15" fillId="12" borderId="1" xfId="0" applyNumberFormat="1" applyFont="1" applyFill="1" applyBorder="1" applyAlignment="1">
      <x:alignment horizontal="left" vertical="top" wrapText="1"/>
    </x:xf>
    <x:xf numFmtId="0" fontId="14" fillId="12" borderId="2" xfId="0" applyNumberFormat="1" applyFont="1" applyFill="1" applyBorder="1" applyAlignment="1">
      <x:alignment horizontal="left" vertical="top" wrapText="1"/>
    </x:xf>
    <x:xf numFmtId="0" fontId="15" fillId="12" borderId="2" xfId="0" applyNumberFormat="1" applyFont="1" applyFill="1" applyBorder="1" applyAlignment="1">
      <x:alignment horizontal="center" vertical="top" wrapText="1"/>
    </x:xf>
    <x:xf numFmtId="0" fontId="16" fillId="12" borderId="2" xfId="0" applyNumberFormat="1" applyFont="1" applyFill="1" applyBorder="1" applyAlignment="1">
      <x:alignment horizontal="left" vertical="top" wrapText="1"/>
    </x:xf>
    <x:xf numFmtId="0" fontId="15" fillId="12" borderId="2" xfId="0" applyNumberFormat="1" applyFont="1" applyFill="1" applyBorder="1" applyAlignment="1">
      <x:alignment horizontal="left" vertical="top" wrapText="1"/>
    </x:xf>
    <x:xf numFmtId="0" fontId="17" fillId="12" borderId="2" xfId="0" applyNumberFormat="1" applyFont="1" applyFill="1" applyBorder="1" applyAlignment="1">
      <x:alignment horizontal="left" vertical="top" wrapText="1"/>
    </x:xf>
    <x:xf numFmtId="0" fontId="12" fillId="13" borderId="1" xfId="0" applyNumberFormat="1" applyFont="1" applyFill="1" applyBorder="1" applyAlignment="1">
      <x:alignment horizontal="left" vertical="top" wrapText="1"/>
    </x:xf>
    <x:xf numFmtId="0" fontId="1" fillId="13" borderId="1" xfId="0" applyNumberFormat="1" applyFont="1" applyFill="1" applyBorder="1" applyAlignment="1">
      <x:alignment horizontal="center" vertical="top" wrapText="1"/>
    </x:xf>
    <x:xf numFmtId="0" fontId="9" fillId="13" borderId="1" xfId="0" applyNumberFormat="1" applyFont="1" applyFill="1" applyBorder="1" applyAlignment="1">
      <x:alignment horizontal="left" vertical="top" wrapText="1"/>
    </x:xf>
    <x:xf numFmtId="0" fontId="1" fillId="13" borderId="1" xfId="0" applyNumberFormat="1" applyFont="1" applyFill="1" applyBorder="1" applyAlignment="1">
      <x:alignment horizontal="left" vertical="top" wrapText="1"/>
    </x:xf>
    <x:xf numFmtId="0" fontId="14" fillId="13" borderId="1" xfId="0" applyNumberFormat="1" applyFont="1" applyFill="1" applyBorder="1" applyAlignment="1">
      <x:alignment horizontal="left" vertical="top" wrapText="1"/>
    </x:xf>
    <x:xf numFmtId="0" fontId="15" fillId="13" borderId="1" xfId="0" applyNumberFormat="1" applyFont="1" applyFill="1" applyBorder="1" applyAlignment="1">
      <x:alignment horizontal="center" vertical="top" wrapText="1"/>
    </x:xf>
    <x:xf numFmtId="0" fontId="16" fillId="13" borderId="1" xfId="0" applyNumberFormat="1" applyFont="1" applyFill="1" applyBorder="1" applyAlignment="1">
      <x:alignment horizontal="left" vertical="top" wrapText="1"/>
    </x:xf>
    <x:xf numFmtId="0" fontId="15" fillId="13" borderId="1" xfId="0" applyNumberFormat="1" applyFont="1" applyFill="1" applyBorder="1" applyAlignment="1">
      <x:alignment horizontal="left" vertical="top" wrapText="1"/>
    </x:xf>
    <x:xf numFmtId="0" fontId="14" fillId="13" borderId="2" xfId="0" applyNumberFormat="1" applyFont="1" applyFill="1" applyBorder="1" applyAlignment="1">
      <x:alignment horizontal="left" vertical="top" wrapText="1"/>
    </x:xf>
    <x:xf numFmtId="0" fontId="15" fillId="13" borderId="2" xfId="0" applyNumberFormat="1" applyFont="1" applyFill="1" applyBorder="1" applyAlignment="1">
      <x:alignment horizontal="center" vertical="top" wrapText="1"/>
    </x:xf>
    <x:xf numFmtId="0" fontId="16" fillId="13" borderId="2" xfId="0" applyNumberFormat="1" applyFont="1" applyFill="1" applyBorder="1" applyAlignment="1">
      <x:alignment horizontal="left" vertical="top" wrapText="1"/>
    </x:xf>
    <x:xf numFmtId="0" fontId="15" fillId="13" borderId="2" xfId="0" applyNumberFormat="1" applyFont="1" applyFill="1" applyBorder="1" applyAlignment="1">
      <x:alignment horizontal="left" vertical="top" wrapText="1"/>
    </x:xf>
    <x:xf numFmtId="0" fontId="17" fillId="13" borderId="2" xfId="0" applyNumberFormat="1" applyFont="1" applyFill="1" applyBorder="1" applyAlignment="1">
      <x:alignment horizontal="left" vertical="top" wrapText="1"/>
    </x:xf>
    <x:xf numFmtId="0" fontId="12" fillId="14" borderId="1" xfId="0" applyNumberFormat="1" applyFont="1" applyFill="1" applyBorder="1" applyAlignment="1">
      <x:alignment horizontal="left" vertical="top" wrapText="1"/>
    </x:xf>
    <x:xf numFmtId="0" fontId="1" fillId="14" borderId="1" xfId="0" applyNumberFormat="1" applyFont="1" applyFill="1" applyBorder="1" applyAlignment="1">
      <x:alignment horizontal="center" vertical="top" wrapText="1"/>
    </x:xf>
    <x:xf numFmtId="0" fontId="9" fillId="14" borderId="1" xfId="0" applyNumberFormat="1" applyFont="1" applyFill="1" applyBorder="1" applyAlignment="1">
      <x:alignment horizontal="left" vertical="top" wrapText="1"/>
    </x:xf>
    <x:xf numFmtId="0" fontId="1" fillId="14" borderId="1" xfId="0" applyNumberFormat="1" applyFont="1" applyFill="1" applyBorder="1" applyAlignment="1">
      <x:alignment horizontal="left" vertical="top" wrapText="1"/>
    </x:xf>
    <x:xf numFmtId="0" fontId="14" fillId="14" borderId="1" xfId="0" applyNumberFormat="1" applyFont="1" applyFill="1" applyBorder="1" applyAlignment="1">
      <x:alignment horizontal="left" vertical="top" wrapText="1"/>
    </x:xf>
    <x:xf numFmtId="0" fontId="15" fillId="14" borderId="1" xfId="0" applyNumberFormat="1" applyFont="1" applyFill="1" applyBorder="1" applyAlignment="1">
      <x:alignment horizontal="center" vertical="top" wrapText="1"/>
    </x:xf>
    <x:xf numFmtId="0" fontId="16" fillId="14" borderId="1" xfId="0" applyNumberFormat="1" applyFont="1" applyFill="1" applyBorder="1" applyAlignment="1">
      <x:alignment horizontal="left" vertical="top" wrapText="1"/>
    </x:xf>
    <x:xf numFmtId="0" fontId="15" fillId="14" borderId="1" xfId="0" applyNumberFormat="1" applyFont="1" applyFill="1" applyBorder="1" applyAlignment="1">
      <x:alignment horizontal="left" vertical="top" wrapText="1"/>
    </x:xf>
    <x:xf numFmtId="0" fontId="14" fillId="14" borderId="2" xfId="0" applyNumberFormat="1" applyFont="1" applyFill="1" applyBorder="1" applyAlignment="1">
      <x:alignment horizontal="left" vertical="top" wrapText="1"/>
    </x:xf>
    <x:xf numFmtId="0" fontId="15" fillId="14" borderId="2" xfId="0" applyNumberFormat="1" applyFont="1" applyFill="1" applyBorder="1" applyAlignment="1">
      <x:alignment horizontal="center" vertical="top" wrapText="1"/>
    </x:xf>
    <x:xf numFmtId="0" fontId="16" fillId="14" borderId="2" xfId="0" applyNumberFormat="1" applyFont="1" applyFill="1" applyBorder="1" applyAlignment="1">
      <x:alignment horizontal="left" vertical="top" wrapText="1"/>
    </x:xf>
    <x:xf numFmtId="0" fontId="15" fillId="14" borderId="2" xfId="0" applyNumberFormat="1" applyFont="1" applyFill="1" applyBorder="1" applyAlignment="1">
      <x:alignment horizontal="left" vertical="top" wrapText="1"/>
    </x:xf>
    <x:xf numFmtId="0" fontId="17" fillId="14" borderId="2" xfId="0" applyNumberFormat="1" applyFont="1" applyFill="1" applyBorder="1" applyAlignment="1">
      <x:alignment horizontal="left" vertical="top" wrapText="1"/>
    </x:xf>
    <x:xf numFmtId="0" fontId="12" fillId="15" borderId="1" xfId="0" applyNumberFormat="1" applyFont="1" applyFill="1" applyBorder="1" applyAlignment="1">
      <x:alignment horizontal="left" vertical="top" wrapText="1"/>
    </x:xf>
    <x:xf numFmtId="0" fontId="1" fillId="15" borderId="1" xfId="0" applyNumberFormat="1" applyFont="1" applyFill="1" applyBorder="1" applyAlignment="1">
      <x:alignment horizontal="center" vertical="top" wrapText="1"/>
    </x:xf>
    <x:xf numFmtId="0" fontId="9" fillId="15" borderId="1" xfId="0" applyNumberFormat="1" applyFont="1" applyFill="1" applyBorder="1" applyAlignment="1">
      <x:alignment horizontal="left" vertical="top" wrapText="1"/>
    </x:xf>
    <x:xf numFmtId="0" fontId="1" fillId="15" borderId="1" xfId="0" applyNumberFormat="1" applyFont="1" applyFill="1" applyBorder="1" applyAlignment="1">
      <x:alignment horizontal="left" vertical="top" wrapText="1"/>
    </x:xf>
    <x:xf numFmtId="0" fontId="14" fillId="15" borderId="1" xfId="0" applyNumberFormat="1" applyFont="1" applyFill="1" applyBorder="1" applyAlignment="1">
      <x:alignment horizontal="left" vertical="top" wrapText="1"/>
    </x:xf>
    <x:xf numFmtId="0" fontId="15" fillId="15" borderId="1" xfId="0" applyNumberFormat="1" applyFont="1" applyFill="1" applyBorder="1" applyAlignment="1">
      <x:alignment horizontal="center" vertical="top" wrapText="1"/>
    </x:xf>
    <x:xf numFmtId="0" fontId="16" fillId="15" borderId="1" xfId="0" applyNumberFormat="1" applyFont="1" applyFill="1" applyBorder="1" applyAlignment="1">
      <x:alignment horizontal="left" vertical="top" wrapText="1"/>
    </x:xf>
    <x:xf numFmtId="0" fontId="15" fillId="15" borderId="1" xfId="0" applyNumberFormat="1" applyFont="1" applyFill="1" applyBorder="1" applyAlignment="1">
      <x:alignment horizontal="left" vertical="top" wrapText="1"/>
    </x:xf>
    <x:xf numFmtId="0" fontId="14" fillId="15" borderId="2" xfId="0" applyNumberFormat="1" applyFont="1" applyFill="1" applyBorder="1" applyAlignment="1">
      <x:alignment horizontal="left" vertical="top" wrapText="1"/>
    </x:xf>
    <x:xf numFmtId="0" fontId="15" fillId="15" borderId="2" xfId="0" applyNumberFormat="1" applyFont="1" applyFill="1" applyBorder="1" applyAlignment="1">
      <x:alignment horizontal="center" vertical="top" wrapText="1"/>
    </x:xf>
    <x:xf numFmtId="0" fontId="16" fillId="15" borderId="2" xfId="0" applyNumberFormat="1" applyFont="1" applyFill="1" applyBorder="1" applyAlignment="1">
      <x:alignment horizontal="left" vertical="top" wrapText="1"/>
    </x:xf>
    <x:xf numFmtId="0" fontId="15" fillId="15" borderId="2" xfId="0" applyNumberFormat="1" applyFont="1" applyFill="1" applyBorder="1" applyAlignment="1">
      <x:alignment horizontal="left" vertical="top" wrapText="1"/>
    </x:xf>
    <x:xf numFmtId="0" fontId="17" fillId="15" borderId="2" xfId="0" applyNumberFormat="1" applyFont="1" applyFill="1" applyBorder="1" applyAlignment="1">
      <x:alignment horizontal="left" vertical="top" wrapText="1"/>
    </x:xf>
    <x:xf numFmtId="0" fontId="12" fillId="16" borderId="1" xfId="0" applyNumberFormat="1" applyFont="1" applyFill="1" applyBorder="1" applyAlignment="1">
      <x:alignment horizontal="left" vertical="top" wrapText="1"/>
    </x:xf>
    <x:xf numFmtId="0" fontId="1" fillId="16" borderId="1" xfId="0" applyNumberFormat="1" applyFont="1" applyFill="1" applyBorder="1" applyAlignment="1">
      <x:alignment horizontal="center" vertical="top" wrapText="1"/>
    </x:xf>
    <x:xf numFmtId="0" fontId="9" fillId="16" borderId="1" xfId="0" applyNumberFormat="1" applyFont="1" applyFill="1" applyBorder="1" applyAlignment="1">
      <x:alignment horizontal="left" vertical="top" wrapText="1"/>
    </x:xf>
    <x:xf numFmtId="0" fontId="1" fillId="16" borderId="1" xfId="0" applyNumberFormat="1" applyFont="1" applyFill="1" applyBorder="1" applyAlignment="1">
      <x:alignment horizontal="left" vertical="top" wrapText="1"/>
    </x:xf>
    <x:xf numFmtId="0" fontId="14" fillId="16" borderId="1" xfId="0" applyNumberFormat="1" applyFont="1" applyFill="1" applyBorder="1" applyAlignment="1">
      <x:alignment horizontal="left" vertical="top" wrapText="1"/>
    </x:xf>
    <x:xf numFmtId="0" fontId="15" fillId="16" borderId="1" xfId="0" applyNumberFormat="1" applyFont="1" applyFill="1" applyBorder="1" applyAlignment="1">
      <x:alignment horizontal="center" vertical="top" wrapText="1"/>
    </x:xf>
    <x:xf numFmtId="0" fontId="16" fillId="16" borderId="1" xfId="0" applyNumberFormat="1" applyFont="1" applyFill="1" applyBorder="1" applyAlignment="1">
      <x:alignment horizontal="left" vertical="top" wrapText="1"/>
    </x:xf>
    <x:xf numFmtId="0" fontId="15" fillId="16" borderId="1" xfId="0" applyNumberFormat="1" applyFont="1" applyFill="1" applyBorder="1" applyAlignment="1">
      <x:alignment horizontal="left" vertical="top" wrapText="1"/>
    </x:xf>
    <x:xf numFmtId="0" fontId="14" fillId="16" borderId="2" xfId="0" applyNumberFormat="1" applyFont="1" applyFill="1" applyBorder="1" applyAlignment="1">
      <x:alignment horizontal="left" vertical="top" wrapText="1"/>
    </x:xf>
    <x:xf numFmtId="0" fontId="15" fillId="16" borderId="2" xfId="0" applyNumberFormat="1" applyFont="1" applyFill="1" applyBorder="1" applyAlignment="1">
      <x:alignment horizontal="center" vertical="top" wrapText="1"/>
    </x:xf>
    <x:xf numFmtId="0" fontId="16" fillId="16" borderId="2" xfId="0" applyNumberFormat="1" applyFont="1" applyFill="1" applyBorder="1" applyAlignment="1">
      <x:alignment horizontal="left" vertical="top" wrapText="1"/>
    </x:xf>
    <x:xf numFmtId="0" fontId="15" fillId="16" borderId="2" xfId="0" applyNumberFormat="1" applyFont="1" applyFill="1" applyBorder="1" applyAlignment="1">
      <x:alignment horizontal="left" vertical="top" wrapText="1"/>
    </x:xf>
    <x:xf numFmtId="0" fontId="17" fillId="16" borderId="2" xfId="0" applyNumberFormat="1" applyFont="1" applyFill="1" applyBorder="1" applyAlignment="1">
      <x:alignment horizontal="left" vertical="top" wrapText="1"/>
    </x:xf>
    <x:xf numFmtId="0" fontId="0" fillId="16" borderId="0" xfId="0" applyNumberFormat="1" applyFont="1" applyFill="1" applyBorder="1" applyAlignment="1">
      <x:alignment horizontal="general" vertical="bottom"/>
    </x:xf>
    <x:xf numFmtId="0" fontId="18" fillId="16" borderId="0" xfId="0" applyNumberFormat="1" applyFont="1" applyFill="1" applyBorder="1" applyAlignment="1">
      <x:alignment horizontal="general" vertical="bottom"/>
    </x:xf>
    <x:xf numFmtId="0" fontId="18" fillId="16" borderId="2" xfId="0" applyNumberFormat="1" applyFont="1" applyFill="1" applyBorder="1" applyAlignment="1">
      <x:alignment horizontal="general" vertical="bottom"/>
    </x:xf>
    <x:xf numFmtId="0" fontId="18" fillId="16" borderId="2" xfId="0" applyNumberFormat="1" applyFont="1" applyFill="1" applyBorder="1" applyAlignment="1">
      <x:alignment horizontal="general" vertical="bottom" wrapText="1"/>
    </x:xf>
    <x:xf numFmtId="0" fontId="18" fillId="16" borderId="2" xfId="0" applyNumberFormat="1" applyFont="1" applyFill="1" applyBorder="1" applyAlignment="1">
      <x:alignment horizontal="general" vertical="top" wrapText="1"/>
    </x:xf>
    <x:xf numFmtId="0" fontId="19" fillId="16" borderId="2" xfId="0" applyNumberFormat="1" applyFont="1" applyFill="1" applyBorder="1" applyAlignment="1">
      <x:alignment horizontal="general" vertical="top" wrapText="1"/>
    </x:xf>
    <x:xf numFmtId="0" fontId="20" fillId="16" borderId="2" xfId="0" applyNumberFormat="1" applyFont="1" applyFill="1" applyBorder="1" applyAlignment="1">
      <x:alignment horizontal="general" vertical="top" wrapText="1"/>
    </x:xf>
    <x:xf numFmtId="0" fontId="18" fillId="16" borderId="2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 applyAlignment="1">
      <x:alignment horizontal="general" vertical="bottom"/>
    </x:xf>
    <x:xf numFmtId="0" fontId="18" fillId="17" borderId="0" xfId="0" applyNumberFormat="1" applyFont="1" applyFill="1" applyBorder="1" applyAlignment="1">
      <x:alignment horizontal="general" vertical="bottom"/>
    </x:xf>
    <x:xf numFmtId="0" fontId="18" fillId="17" borderId="2" xfId="0" applyNumberFormat="1" applyFont="1" applyFill="1" applyBorder="1" applyAlignment="1">
      <x:alignment horizontal="general" vertical="bottom"/>
    </x:xf>
    <x:xf numFmtId="0" fontId="18" fillId="17" borderId="2" xfId="0" applyNumberFormat="1" applyFont="1" applyFill="1" applyBorder="1" applyAlignment="1">
      <x:alignment horizontal="general" vertical="bottom" wrapText="1"/>
    </x:xf>
    <x:xf numFmtId="0" fontId="18" fillId="17" borderId="2" xfId="0" applyNumberFormat="1" applyFont="1" applyFill="1" applyBorder="1" applyAlignment="1">
      <x:alignment horizontal="general" vertical="top" wrapText="1"/>
    </x:xf>
    <x:xf numFmtId="0" fontId="19" fillId="17" borderId="2" xfId="0" applyNumberFormat="1" applyFont="1" applyFill="1" applyBorder="1" applyAlignment="1">
      <x:alignment horizontal="general" vertical="top" wrapText="1"/>
    </x:xf>
    <x:xf numFmtId="0" fontId="20" fillId="17" borderId="2" xfId="0" applyNumberFormat="1" applyFont="1" applyFill="1" applyBorder="1" applyAlignment="1">
      <x:alignment horizontal="general" vertical="top" wrapText="1"/>
    </x:xf>
    <x:xf numFmtId="0" fontId="18" fillId="17" borderId="2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 applyAlignment="1">
      <x:alignment horizontal="general" vertical="bottom"/>
    </x:xf>
    <x:xf numFmtId="0" fontId="18" fillId="18" borderId="0" xfId="0" applyNumberFormat="1" applyFont="1" applyFill="1" applyBorder="1" applyAlignment="1">
      <x:alignment horizontal="general" vertical="bottom"/>
    </x:xf>
    <x:xf numFmtId="0" fontId="18" fillId="18" borderId="2" xfId="0" applyNumberFormat="1" applyFont="1" applyFill="1" applyBorder="1" applyAlignment="1">
      <x:alignment horizontal="general" vertical="bottom"/>
    </x:xf>
    <x:xf numFmtId="0" fontId="18" fillId="18" borderId="2" xfId="0" applyNumberFormat="1" applyFont="1" applyFill="1" applyBorder="1" applyAlignment="1">
      <x:alignment horizontal="general" vertical="bottom" wrapText="1"/>
    </x:xf>
    <x:xf numFmtId="0" fontId="18" fillId="18" borderId="2" xfId="0" applyNumberFormat="1" applyFont="1" applyFill="1" applyBorder="1" applyAlignment="1">
      <x:alignment horizontal="general" vertical="top" wrapText="1"/>
    </x:xf>
    <x:xf numFmtId="0" fontId="19" fillId="18" borderId="2" xfId="0" applyNumberFormat="1" applyFont="1" applyFill="1" applyBorder="1" applyAlignment="1">
      <x:alignment horizontal="general" vertical="top" wrapText="1"/>
    </x:xf>
    <x:xf numFmtId="0" fontId="20" fillId="18" borderId="2" xfId="0" applyNumberFormat="1" applyFont="1" applyFill="1" applyBorder="1" applyAlignment="1">
      <x:alignment horizontal="general" vertical="top" wrapText="1"/>
    </x:xf>
    <x:xf numFmtId="0" fontId="18" fillId="18" borderId="2" xfId="0" applyNumberFormat="1" applyFont="1" applyFill="1" applyBorder="1" applyAlignment="1">
      <x:alignment horizontal="center" vertical="top" wrapText="1"/>
    </x:xf>
    <x:xf numFmtId="200" fontId="10" fillId="0" borderId="0" xfId="0" applyNumberFormat="1" applyFont="1" applyFill="1" applyBorder="1" applyAlignment="1">
      <x:alignment horizontal="general" vertical="bottom"/>
    </x:xf>
    <x:xf numFmtId="0" fontId="4" fillId="19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 applyAlignment="1">
      <x:alignment horizontal="general" vertical="bottom"/>
    </x:xf>
    <x:xf numFmtId="0" fontId="21" fillId="19" borderId="0" xfId="0" applyNumberFormat="1" applyFont="1" applyFill="1" applyBorder="1" applyAlignment="1">
      <x:alignment horizontal="general" vertical="bottom"/>
    </x:xf>
    <x:xf numFmtId="0" fontId="21" fillId="19" borderId="0" xfId="0" applyNumberFormat="1" applyFont="1" applyFill="1" applyBorder="1" applyAlignment="1">
      <x:alignment horizontal="center" vertical="bottom"/>
    </x:xf>
    <x:xf numFmtId="0" fontId="21" fillId="19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 applyAlignment="1">
      <x:alignment horizontal="general" vertical="bottom"/>
    </x:xf>
    <x:xf numFmtId="0" fontId="22" fillId="0" borderId="0" xfId="0" applyNumberFormat="1" applyFont="1" applyFill="1" applyBorder="1" applyAlignment="1">
      <x:alignment horizontal="center" vertical="bottom"/>
    </x:xf>
    <x:xf numFmtId="0" fontId="6" fillId="20" borderId="0" xfId="0" applyNumberFormat="1" applyFont="1" applyFill="1" applyBorder="1" applyAlignment="1">
      <x:alignment horizontal="left" vertical="center"/>
    </x:xf>
    <x:xf numFmtId="0" fontId="0" fillId="20" borderId="0" xfId="0" applyNumberFormat="1" applyFont="1" applyFill="1" applyBorder="1" applyAlignment="1">
      <x:alignment horizontal="general" vertical="bottom"/>
    </x:xf>
    <x:xf numFmtId="0" fontId="23" fillId="20" borderId="0" xfId="0" applyNumberFormat="1" applyFont="1" applyFill="1" applyBorder="1" applyAlignment="1">
      <x:alignment horizontal="general" vertical="bottom"/>
    </x:xf>
    <x:xf numFmtId="0" fontId="23" fillId="20" borderId="0" xfId="0" applyNumberFormat="1" applyFont="1" applyFill="1" applyBorder="1" applyAlignment="1">
      <x:alignment horizontal="general" vertical="center"/>
    </x:xf>
    <x:xf numFmtId="0" fontId="24" fillId="0" borderId="0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21" fillId="19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horizontal="center" vertical="bottom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6" fillId="20" borderId="0" xfId="0" applyNumberFormat="1" applyFont="1" applyFill="1" applyBorder="1" applyAlignment="1">
      <x:alignment horizontal="left" vertical="center" wrapText="1"/>
    </x:xf>
    <x:xf numFmtId="0" fontId="23" fillId="20" borderId="0" xfId="0" applyNumberFormat="1" applyFont="1" applyFill="1" applyBorder="1" applyAlignment="1">
      <x:alignment horizontal="general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horizontal="general" vertical="bottom" wrapText="1"/>
    </x:xf>
    <x:xf numFmtId="0" fontId="1" fillId="0" borderId="0" xfId="0" applyNumberFormat="1" applyFont="1" applyFill="1" applyBorder="1" applyAlignment="1">
      <x:alignment horizontal="general" vertical="bottom" wrapText="1"/>
    </x:xf>
    <x:xf numFmtId="200" fontId="10" fillId="0" borderId="0" xfId="0" applyNumberFormat="1" applyFont="1" applyFill="1" applyBorder="1" applyAlignment="1">
      <x:alignment horizontal="general" vertical="bottom" wrapText="1"/>
    </x:xf>
    <x:xf numFmtId="0" fontId="4" fillId="19" borderId="0" xfId="0" applyNumberFormat="1" applyFont="1" applyFill="1" applyBorder="1" applyAlignment="1">
      <x:alignment horizontal="center" vertical="top" wrapText="1"/>
    </x:xf>
    <x:xf numFmtId="0" fontId="21" fillId="19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22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6" fillId="20" borderId="0" xfId="0" applyNumberFormat="1" applyFont="1" applyFill="1" applyBorder="1" applyAlignment="1">
      <x:alignment horizontal="left" vertical="top" wrapText="1"/>
    </x:xf>
    <x:xf numFmtId="0" fontId="23" fillId="20" borderId="0" xfId="0" applyNumberFormat="1" applyFont="1" applyFill="1" applyBorder="1" applyAlignment="1">
      <x:alignment horizontal="general" vertical="top" wrapText="1"/>
    </x:xf>
    <x:xf numFmtId="0" fontId="9" fillId="0" borderId="0" xfId="0" applyNumberFormat="1" applyFont="1" applyFill="1" applyBorder="1" applyAlignment="1">
      <x:alignment horizontal="general" vertical="top" wrapText="1"/>
    </x:xf>
    <x:xf numFmtId="0" fontId="1" fillId="0" borderId="0" xfId="0" applyNumberFormat="1" applyFont="1" applyFill="1" applyBorder="1" applyAlignment="1">
      <x:alignment horizontal="general" vertical="top" wrapText="1"/>
    </x:xf>
    <x:xf numFmtId="200" fontId="10" fillId="0" borderId="0" xfId="0" applyNumberFormat="1" applyFont="1" applyFill="1" applyBorder="1" applyAlignment="1">
      <x:alignment horizontal="general" vertical="top" wrapText="1"/>
    </x:xf>
    <x:xf numFmtId="0" fontId="11" fillId="20" borderId="1" xfId="0" applyNumberFormat="1" applyFont="1" applyFill="1" applyBorder="1" applyAlignment="1">
      <x:alignment horizontal="center" vertical="center" wrapText="1"/>
    </x:xf>
    <x:xf numFmtId="0" fontId="11" fillId="20" borderId="3" xfId="0" applyNumberFormat="1" applyFont="1" applyFill="1" applyBorder="1" applyAlignment="1">
      <x:alignment horizontal="center" vertical="center" wrapText="1"/>
    </x:xf>
    <x:xf numFmtId="0" fontId="9" fillId="12" borderId="1" xfId="0" applyNumberFormat="1" applyFont="1" applyFill="1" applyBorder="1" applyAlignment="1">
      <x:alignment horizontal="left" vertical="center" wrapText="1"/>
    </x:xf>
    <x:xf numFmtId="0" fontId="1" fillId="12" borderId="1" xfId="0" applyNumberFormat="1" applyFont="1" applyFill="1" applyBorder="1" applyAlignment="1">
      <x:alignment horizontal="left" vertical="center" wrapText="1"/>
    </x:xf>
    <x:xf numFmtId="0" fontId="13" fillId="12" borderId="1" xfId="0" applyNumberFormat="1" applyFont="1" applyFill="1" applyBorder="1" applyAlignment="1">
      <x:alignment horizontal="left" vertical="center" wrapText="1"/>
    </x:xf>
    <x:xf numFmtId="0" fontId="16" fillId="12" borderId="1" xfId="0" applyNumberFormat="1" applyFont="1" applyFill="1" applyBorder="1" applyAlignment="1">
      <x:alignment horizontal="left" vertical="center" wrapText="1"/>
    </x:xf>
    <x:xf numFmtId="0" fontId="15" fillId="12" borderId="1" xfId="0" applyNumberFormat="1" applyFont="1" applyFill="1" applyBorder="1" applyAlignment="1">
      <x:alignment horizontal="left" vertical="center" wrapText="1"/>
    </x:xf>
    <x:xf numFmtId="0" fontId="16" fillId="12" borderId="2" xfId="0" applyNumberFormat="1" applyFont="1" applyFill="1" applyBorder="1" applyAlignment="1">
      <x:alignment horizontal="left" vertical="center" wrapText="1"/>
    </x:xf>
    <x:xf numFmtId="0" fontId="15" fillId="12" borderId="2" xfId="0" applyNumberFormat="1" applyFont="1" applyFill="1" applyBorder="1" applyAlignment="1">
      <x:alignment horizontal="left" vertical="center" wrapText="1"/>
    </x:xf>
    <x:xf numFmtId="0" fontId="24" fillId="12" borderId="2" xfId="0" applyNumberFormat="1" applyFont="1" applyFill="1" applyBorder="1" applyAlignment="1">
      <x:alignment horizontal="left" vertical="top" wrapText="1"/>
    </x:xf>
    <x:xf numFmtId="0" fontId="9" fillId="21" borderId="1" xfId="0" applyNumberFormat="1" applyFont="1" applyFill="1" applyBorder="1" applyAlignment="1">
      <x:alignment horizontal="left" vertical="center" wrapText="1"/>
    </x:xf>
    <x:xf numFmtId="0" fontId="1" fillId="21" borderId="1" xfId="0" applyNumberFormat="1" applyFont="1" applyFill="1" applyBorder="1" applyAlignment="1">
      <x:alignment horizontal="left" vertical="center" wrapText="1"/>
    </x:xf>
    <x:xf numFmtId="0" fontId="13" fillId="21" borderId="1" xfId="0" applyNumberFormat="1" applyFont="1" applyFill="1" applyBorder="1" applyAlignment="1">
      <x:alignment horizontal="left" vertical="center" wrapText="1"/>
    </x:xf>
    <x:xf numFmtId="0" fontId="16" fillId="21" borderId="1" xfId="0" applyNumberFormat="1" applyFont="1" applyFill="1" applyBorder="1" applyAlignment="1">
      <x:alignment horizontal="left" vertical="center" wrapText="1"/>
    </x:xf>
    <x:xf numFmtId="0" fontId="15" fillId="21" borderId="1" xfId="0" applyNumberFormat="1" applyFont="1" applyFill="1" applyBorder="1" applyAlignment="1">
      <x:alignment horizontal="left" vertical="center" wrapText="1"/>
    </x:xf>
    <x:xf numFmtId="0" fontId="16" fillId="21" borderId="2" xfId="0" applyNumberFormat="1" applyFont="1" applyFill="1" applyBorder="1" applyAlignment="1">
      <x:alignment horizontal="left" vertical="center" wrapText="1"/>
    </x:xf>
    <x:xf numFmtId="0" fontId="15" fillId="21" borderId="2" xfId="0" applyNumberFormat="1" applyFont="1" applyFill="1" applyBorder="1" applyAlignment="1">
      <x:alignment horizontal="left" vertical="center" wrapText="1"/>
    </x:xf>
    <x:xf numFmtId="0" fontId="16" fillId="21" borderId="2" xfId="0" applyNumberFormat="1" applyFont="1" applyFill="1" applyBorder="1" applyAlignment="1">
      <x:alignment horizontal="left" vertical="top" wrapText="1"/>
    </x:xf>
    <x:xf numFmtId="0" fontId="15" fillId="21" borderId="2" xfId="0" applyNumberFormat="1" applyFont="1" applyFill="1" applyBorder="1" applyAlignment="1">
      <x:alignment horizontal="left" vertical="top" wrapText="1"/>
    </x:xf>
    <x:xf numFmtId="0" fontId="24" fillId="21" borderId="2" xfId="0" applyNumberFormat="1" applyFont="1" applyFill="1" applyBorder="1" applyAlignment="1">
      <x:alignment horizontal="left" vertical="top" wrapText="1"/>
    </x:xf>
    <x:xf numFmtId="0" fontId="0" fillId="21" borderId="0" xfId="0" applyNumberFormat="1" applyFont="1" applyFill="1" applyBorder="1" applyAlignment="1">
      <x:alignment horizontal="general" vertical="bottom"/>
    </x:xf>
    <x:xf numFmtId="0" fontId="18" fillId="21" borderId="0" xfId="0" applyNumberFormat="1" applyFont="1" applyFill="1" applyBorder="1" applyAlignment="1">
      <x:alignment horizontal="general" vertical="bottom"/>
    </x:xf>
    <x:xf numFmtId="0" fontId="18" fillId="21" borderId="2" xfId="0" applyNumberFormat="1" applyFont="1" applyFill="1" applyBorder="1" applyAlignment="1">
      <x:alignment horizontal="general" vertical="bottom"/>
    </x:xf>
    <x:xf numFmtId="0" fontId="18" fillId="21" borderId="2" xfId="0" applyNumberFormat="1" applyFont="1" applyFill="1" applyBorder="1" applyAlignment="1">
      <x:alignment horizontal="general" vertical="bottom" wrapText="1"/>
    </x:xf>
    <x:xf numFmtId="0" fontId="18" fillId="21" borderId="2" xfId="0" applyNumberFormat="1" applyFont="1" applyFill="1" applyBorder="1" applyAlignment="1">
      <x:alignment horizontal="general" vertical="top" wrapText="1"/>
    </x:xf>
    <x:xf numFmtId="0" fontId="25" fillId="21" borderId="2" xfId="0" applyNumberFormat="1" applyFont="1" applyFill="1" applyBorder="1" applyAlignment="1">
      <x:alignment horizontal="general" vertical="top" wrapText="1"/>
    </x:xf>
    <x:xf numFmtId="0" fontId="0" fillId="12" borderId="0" xfId="0" applyNumberFormat="1" applyFont="1" applyFill="1" applyBorder="1" applyAlignment="1">
      <x:alignment horizontal="general" vertical="bottom"/>
    </x:xf>
    <x:xf numFmtId="0" fontId="18" fillId="12" borderId="0" xfId="0" applyNumberFormat="1" applyFont="1" applyFill="1" applyBorder="1" applyAlignment="1">
      <x:alignment horizontal="general" vertical="bottom"/>
    </x:xf>
    <x:xf numFmtId="0" fontId="18" fillId="12" borderId="2" xfId="0" applyNumberFormat="1" applyFont="1" applyFill="1" applyBorder="1" applyAlignment="1">
      <x:alignment horizontal="general" vertical="bottom"/>
    </x:xf>
    <x:xf numFmtId="0" fontId="18" fillId="12" borderId="2" xfId="0" applyNumberFormat="1" applyFont="1" applyFill="1" applyBorder="1" applyAlignment="1">
      <x:alignment horizontal="general" vertical="bottom" wrapText="1"/>
    </x:xf>
    <x:xf numFmtId="0" fontId="18" fillId="12" borderId="2" xfId="0" applyNumberFormat="1" applyFont="1" applyFill="1" applyBorder="1" applyAlignment="1">
      <x:alignment horizontal="general" vertical="top" wrapText="1"/>
    </x:xf>
    <x:xf numFmtId="0" fontId="25" fillId="12" borderId="2" xfId="0" applyNumberFormat="1" applyFont="1" applyFill="1" applyBorder="1" applyAlignment="1">
      <x:alignment horizontal="general" vertical="top" wrapText="1"/>
    </x:xf>
    <x:xf numFmtId="0" fontId="7" fillId="12" borderId="1" xfId="0" applyNumberFormat="1" applyFont="1" applyFill="1" applyBorder="1" applyAlignment="1">
      <x:alignment horizontal="left" vertical="center" wrapText="1"/>
    </x:xf>
    <x:xf numFmtId="0" fontId="7" fillId="21" borderId="1" xfId="0" applyNumberFormat="1" applyFont="1" applyFill="1" applyBorder="1" applyAlignment="1">
      <x:alignment horizontal="left" vertical="center" wrapText="1"/>
    </x:xf>
    <x:xf numFmtId="0" fontId="17" fillId="22" borderId="2" xfId="0" applyNumberFormat="1" applyFont="1" applyFill="1" applyBorder="1" applyAlignment="1">
      <x:alignment horizontal="left" vertical="top" wrapText="1"/>
    </x:xf>
    <x:xf numFmtId="0" fontId="15" fillId="22" borderId="2" xfId="0" applyNumberFormat="1" applyFont="1" applyFill="1" applyBorder="1" applyAlignment="1">
      <x:alignment horizontal="center" vertical="top" wrapText="1"/>
    </x:xf>
    <x:xf numFmtId="0" fontId="16" fillId="22" borderId="2" xfId="0" applyNumberFormat="1" applyFont="1" applyFill="1" applyBorder="1" applyAlignment="1">
      <x:alignment horizontal="left" vertical="top" wrapText="1"/>
    </x:xf>
    <x:xf numFmtId="0" fontId="15" fillId="22" borderId="2" xfId="0" applyNumberFormat="1" applyFont="1" applyFill="1" applyBorder="1" applyAlignment="1">
      <x:alignment horizontal="left" vertical="top" wrapText="1"/>
    </x:xf>
    <x:xf numFmtId="0" fontId="14" fillId="22" borderId="2" xfId="0" applyNumberFormat="1" applyFont="1" applyFill="1" applyBorder="1" applyAlignment="1">
      <x:alignment horizontal="left" vertical="top" wrapText="1"/>
    </x:xf>
    <x:xf numFmtId="0" fontId="17" fillId="23" borderId="2" xfId="0" applyNumberFormat="1" applyFont="1" applyFill="1" applyBorder="1" applyAlignment="1">
      <x:alignment horizontal="left" vertical="top" wrapText="1"/>
    </x:xf>
    <x:xf numFmtId="0" fontId="15" fillId="23" borderId="2" xfId="0" applyNumberFormat="1" applyFont="1" applyFill="1" applyBorder="1" applyAlignment="1">
      <x:alignment horizontal="center" vertical="top" wrapText="1"/>
    </x:xf>
    <x:xf numFmtId="0" fontId="16" fillId="23" borderId="2" xfId="0" applyNumberFormat="1" applyFont="1" applyFill="1" applyBorder="1" applyAlignment="1">
      <x:alignment horizontal="left" vertical="top" wrapText="1"/>
    </x:xf>
    <x:xf numFmtId="0" fontId="15" fillId="23" borderId="2" xfId="0" applyNumberFormat="1" applyFont="1" applyFill="1" applyBorder="1" applyAlignment="1">
      <x:alignment horizontal="left" vertical="top" wrapText="1"/>
    </x:xf>
    <x:xf numFmtId="0" fontId="14" fillId="23" borderId="2" xfId="0" applyNumberFormat="1" applyFont="1" applyFill="1" applyBorder="1" applyAlignment="1">
      <x:alignment horizontal="left" vertical="top" wrapText="1"/>
    </x:xf>
    <x:xf numFmtId="0" fontId="17" fillId="24" borderId="2" xfId="0" applyNumberFormat="1" applyFont="1" applyFill="1" applyBorder="1" applyAlignment="1">
      <x:alignment horizontal="left" vertical="top" wrapText="1"/>
    </x:xf>
    <x:xf numFmtId="0" fontId="15" fillId="24" borderId="2" xfId="0" applyNumberFormat="1" applyFont="1" applyFill="1" applyBorder="1" applyAlignment="1">
      <x:alignment horizontal="center" vertical="top" wrapText="1"/>
    </x:xf>
    <x:xf numFmtId="0" fontId="16" fillId="24" borderId="2" xfId="0" applyNumberFormat="1" applyFont="1" applyFill="1" applyBorder="1" applyAlignment="1">
      <x:alignment horizontal="left" vertical="top" wrapText="1"/>
    </x:xf>
    <x:xf numFmtId="0" fontId="15" fillId="24" borderId="2" xfId="0" applyNumberFormat="1" applyFont="1" applyFill="1" applyBorder="1" applyAlignment="1">
      <x:alignment horizontal="left" vertical="top" wrapText="1"/>
    </x:xf>
    <x:xf numFmtId="0" fontId="14" fillId="24" borderId="2" xfId="0" applyNumberFormat="1" applyFont="1" applyFill="1" applyBorder="1" applyAlignment="1">
      <x:alignment horizontal="left" vertical="top" wrapText="1"/>
    </x:xf>
    <x:xf numFmtId="0" fontId="17" fillId="25" borderId="2" xfId="0" applyNumberFormat="1" applyFont="1" applyFill="1" applyBorder="1" applyAlignment="1">
      <x:alignment horizontal="left" vertical="top" wrapText="1"/>
    </x:xf>
    <x:xf numFmtId="0" fontId="15" fillId="25" borderId="2" xfId="0" applyNumberFormat="1" applyFont="1" applyFill="1" applyBorder="1" applyAlignment="1">
      <x:alignment horizontal="center" vertical="top" wrapText="1"/>
    </x:xf>
    <x:xf numFmtId="0" fontId="16" fillId="25" borderId="2" xfId="0" applyNumberFormat="1" applyFont="1" applyFill="1" applyBorder="1" applyAlignment="1">
      <x:alignment horizontal="left" vertical="top" wrapText="1"/>
    </x:xf>
    <x:xf numFmtId="0" fontId="15" fillId="25" borderId="2" xfId="0" applyNumberFormat="1" applyFont="1" applyFill="1" applyBorder="1" applyAlignment="1">
      <x:alignment horizontal="left" vertical="top" wrapText="1"/>
    </x:xf>
    <x:xf numFmtId="0" fontId="14" fillId="25" borderId="2" xfId="0" applyNumberFormat="1" applyFont="1" applyFill="1" applyBorder="1" applyAlignment="1">
      <x:alignment horizontal="left" vertical="top" wrapText="1"/>
    </x:xf>
    <x:xf numFmtId="0" fontId="17" fillId="26" borderId="2" xfId="0" applyNumberFormat="1" applyFont="1" applyFill="1" applyBorder="1" applyAlignment="1">
      <x:alignment horizontal="left" vertical="top" wrapText="1"/>
    </x:xf>
    <x:xf numFmtId="0" fontId="15" fillId="26" borderId="2" xfId="0" applyNumberFormat="1" applyFont="1" applyFill="1" applyBorder="1" applyAlignment="1">
      <x:alignment horizontal="center" vertical="top" wrapText="1"/>
    </x:xf>
    <x:xf numFmtId="0" fontId="16" fillId="26" borderId="2" xfId="0" applyNumberFormat="1" applyFont="1" applyFill="1" applyBorder="1" applyAlignment="1">
      <x:alignment horizontal="left" vertical="top" wrapText="1"/>
    </x:xf>
    <x:xf numFmtId="0" fontId="15" fillId="26" borderId="2" xfId="0" applyNumberFormat="1" applyFont="1" applyFill="1" applyBorder="1" applyAlignment="1">
      <x:alignment horizontal="left" vertical="top" wrapText="1"/>
    </x:xf>
    <x:xf numFmtId="0" fontId="14" fillId="26" borderId="2" xfId="0" applyNumberFormat="1" applyFont="1" applyFill="1" applyBorder="1" applyAlignment="1">
      <x:alignment horizontal="left" vertical="top" wrapText="1"/>
    </x:xf>
    <x:xf numFmtId="0" fontId="19" fillId="26" borderId="2" xfId="0" applyNumberFormat="1" applyFont="1" applyFill="1" applyBorder="1" applyAlignment="1">
      <x:alignment horizontal="general" vertical="top" wrapText="1"/>
    </x:xf>
    <x:xf numFmtId="0" fontId="18" fillId="26" borderId="2" xfId="0" applyNumberFormat="1" applyFont="1" applyFill="1" applyBorder="1" applyAlignment="1">
      <x:alignment horizontal="center" vertical="top" wrapText="1"/>
    </x:xf>
    <x:xf numFmtId="0" fontId="20" fillId="26" borderId="2" xfId="0" applyNumberFormat="1" applyFont="1" applyFill="1" applyBorder="1" applyAlignment="1">
      <x:alignment horizontal="general" vertical="top" wrapText="1"/>
    </x:xf>
    <x:xf numFmtId="0" fontId="18" fillId="26" borderId="2" xfId="0" applyNumberFormat="1" applyFont="1" applyFill="1" applyBorder="1" applyAlignment="1">
      <x:alignment horizontal="general" vertical="top" wrapText="1"/>
    </x:xf>
    <x:xf numFmtId="0" fontId="26" fillId="26" borderId="2" xfId="0" applyNumberFormat="1" applyFont="1" applyFill="1" applyBorder="1" applyAlignment="1">
      <x:alignment horizontal="general" vertical="top" wrapText="1"/>
    </x:xf>
    <x:xf numFmtId="0" fontId="19" fillId="27" borderId="2" xfId="0" applyNumberFormat="1" applyFont="1" applyFill="1" applyBorder="1" applyAlignment="1">
      <x:alignment horizontal="general" vertical="top" wrapText="1"/>
    </x:xf>
    <x:xf numFmtId="0" fontId="18" fillId="27" borderId="2" xfId="0" applyNumberFormat="1" applyFont="1" applyFill="1" applyBorder="1" applyAlignment="1">
      <x:alignment horizontal="center" vertical="top" wrapText="1"/>
    </x:xf>
    <x:xf numFmtId="0" fontId="20" fillId="27" borderId="2" xfId="0" applyNumberFormat="1" applyFont="1" applyFill="1" applyBorder="1" applyAlignment="1">
      <x:alignment horizontal="general" vertical="top" wrapText="1"/>
    </x:xf>
    <x:xf numFmtId="0" fontId="18" fillId="27" borderId="2" xfId="0" applyNumberFormat="1" applyFont="1" applyFill="1" applyBorder="1" applyAlignment="1">
      <x:alignment horizontal="general" vertical="top" wrapText="1"/>
    </x:xf>
    <x:xf numFmtId="0" fontId="26" fillId="27" borderId="2" xfId="0" applyNumberFormat="1" applyFont="1" applyFill="1" applyBorder="1" applyAlignment="1">
      <x:alignment horizontal="general" vertical="top" wrapText="1"/>
    </x:xf>
    <x:xf numFmtId="0" fontId="19" fillId="28" borderId="2" xfId="0" applyNumberFormat="1" applyFont="1" applyFill="1" applyBorder="1" applyAlignment="1">
      <x:alignment horizontal="general" vertical="top" wrapText="1"/>
    </x:xf>
    <x:xf numFmtId="0" fontId="18" fillId="28" borderId="2" xfId="0" applyNumberFormat="1" applyFont="1" applyFill="1" applyBorder="1" applyAlignment="1">
      <x:alignment horizontal="center" vertical="top" wrapText="1"/>
    </x:xf>
    <x:xf numFmtId="0" fontId="20" fillId="28" borderId="2" xfId="0" applyNumberFormat="1" applyFont="1" applyFill="1" applyBorder="1" applyAlignment="1">
      <x:alignment horizontal="general" vertical="top" wrapText="1"/>
    </x:xf>
    <x:xf numFmtId="0" fontId="18" fillId="28" borderId="2" xfId="0" applyNumberFormat="1" applyFont="1" applyFill="1" applyBorder="1" applyAlignment="1">
      <x:alignment horizontal="general" vertical="top" wrapText="1"/>
    </x:xf>
    <x:xf numFmtId="0" fontId="26" fillId="28" borderId="2" xfId="0" applyNumberFormat="1" applyFont="1" applyFill="1" applyBorder="1" applyAlignment="1">
      <x:alignment horizontal="general" vertical="top" wrapText="1"/>
    </x:xf>
    <x:xf numFmtId="0" fontId="4" fillId="29" borderId="0" xfId="0" applyNumberFormat="1" applyFont="1" applyFill="1" applyBorder="1" applyAlignment="1">
      <x:alignment horizontal="center" vertical="top" wrapText="1"/>
    </x:xf>
    <x:xf numFmtId="0" fontId="21" fillId="29" borderId="0" xfId="0" applyNumberFormat="1" applyFont="1" applyFill="1" applyBorder="1" applyAlignment="1">
      <x:alignment horizontal="center" vertical="top" wrapText="1"/>
    </x:xf>
    <x:xf numFmtId="0" fontId="4" fillId="29" borderId="0" xfId="0" applyNumberFormat="1" applyFont="1" applyFill="1" applyBorder="1" applyAlignment="1">
      <x:alignment horizontal="center" vertical="center" wrapText="1"/>
    </x:xf>
    <x:xf numFmtId="0" fontId="21" fillId="29" borderId="0" xfId="0" applyNumberFormat="1" applyFont="1" applyFill="1" applyBorder="1" applyAlignment="1">
      <x:alignment horizontal="center" vertical="center" wrapText="1"/>
    </x:xf>
    <x:xf numFmtId="0" fontId="6" fillId="30" borderId="0" xfId="0" applyNumberFormat="1" applyFont="1" applyFill="1" applyBorder="1" applyAlignment="1">
      <x:alignment horizontal="left" vertical="top" wrapText="1"/>
    </x:xf>
    <x:xf numFmtId="0" fontId="23" fillId="30" borderId="0" xfId="0" applyNumberFormat="1" applyFont="1" applyFill="1" applyBorder="1" applyAlignment="1">
      <x:alignment horizontal="general" vertical="top" wrapText="1"/>
    </x:xf>
    <x:xf numFmtId="0" fontId="6" fillId="30" borderId="0" xfId="0" applyNumberFormat="1" applyFont="1" applyFill="1" applyBorder="1" applyAlignment="1">
      <x:alignment horizontal="left" vertical="center" wrapText="1"/>
    </x:xf>
    <x:xf numFmtId="0" fontId="23" fillId="30" borderId="0" xfId="0" applyNumberFormat="1" applyFont="1" applyFill="1" applyBorder="1" applyAlignment="1">
      <x:alignment horizontal="general" vertical="center" wrapText="1"/>
    </x:xf>
    <x:xf numFmtId="0" fontId="11" fillId="30" borderId="3" xfId="0" applyNumberFormat="1" applyFont="1" applyFill="1" applyBorder="1" applyAlignment="1">
      <x:alignment horizontal="center" vertical="center" wrapText="1"/>
    </x:xf>
    <x:xf numFmtId="0" fontId="24" fillId="22" borderId="2" xfId="0" applyNumberFormat="1" applyFont="1" applyFill="1" applyBorder="1" applyAlignment="1">
      <x:alignment horizontal="left" vertical="top" wrapText="1"/>
    </x:xf>
    <x:xf numFmtId="0" fontId="24" fillId="31" borderId="2" xfId="0" applyNumberFormat="1" applyFont="1" applyFill="1" applyBorder="1" applyAlignment="1">
      <x:alignment horizontal="left" vertical="top" wrapText="1"/>
    </x:xf>
    <x:xf numFmtId="0" fontId="15" fillId="31" borderId="2" xfId="0" applyNumberFormat="1" applyFont="1" applyFill="1" applyBorder="1" applyAlignment="1">
      <x:alignment horizontal="left" vertical="top" wrapText="1"/>
    </x:xf>
    <x:xf numFmtId="0" fontId="16" fillId="31" borderId="2" xfId="0" applyNumberFormat="1" applyFont="1" applyFill="1" applyBorder="1" applyAlignment="1">
      <x:alignment horizontal="left" vertical="top" wrapText="1"/>
    </x:xf>
    <x:xf numFmtId="0" fontId="25" fillId="31" borderId="2" xfId="0" applyNumberFormat="1" applyFont="1" applyFill="1" applyBorder="1" applyAlignment="1">
      <x:alignment horizontal="general" vertical="top" wrapText="1"/>
    </x:xf>
    <x:xf numFmtId="0" fontId="18" fillId="31" borderId="2" xfId="0" applyNumberFormat="1" applyFont="1" applyFill="1" applyBorder="1" applyAlignment="1">
      <x:alignment horizontal="general" vertical="top" wrapText="1"/>
    </x:xf>
    <x:xf numFmtId="0" fontId="20" fillId="31" borderId="2" xfId="0" applyNumberFormat="1" applyFont="1" applyFill="1" applyBorder="1" applyAlignment="1">
      <x:alignment horizontal="general" vertical="top" wrapText="1"/>
    </x:xf>
    <x:xf numFmtId="0" fontId="25" fillId="22" borderId="2" xfId="0" applyNumberFormat="1" applyFont="1" applyFill="1" applyBorder="1" applyAlignment="1">
      <x:alignment horizontal="general" vertical="top" wrapText="1"/>
    </x:xf>
    <x:xf numFmtId="0" fontId="18" fillId="22" borderId="2" xfId="0" applyNumberFormat="1" applyFont="1" applyFill="1" applyBorder="1" applyAlignment="1">
      <x:alignment horizontal="general" vertical="top" wrapText="1"/>
    </x:xf>
    <x:xf numFmtId="0" fontId="20" fillId="22" borderId="2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DDEBF7"/>
      <x:rgbColor rgb="FF660066"/>
      <x:rgbColor rgb="FFFF8080"/>
      <x:rgbColor rgb="FF0563C1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8EEF7"/>
      <x:rgbColor rgb="FFE2EFDA"/>
      <x:rgbColor rgb="FFFCE4D6"/>
      <x:rgbColor rgb="FF99CCFF"/>
      <x:rgbColor rgb="FFFF99CC"/>
      <x:rgbColor rgb="FFCC99FF"/>
      <x:rgbColor rgb="FFEAD1DC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2E7D32"/>
      <x:rgbColor rgb="FF003300"/>
      <x:rgbColor rgb="FF333300"/>
      <x:rgbColor rgb="FF993300"/>
      <x:rgbColor rgb="FF993366"/>
      <x:rgbColor rgb="FF2E5496"/>
      <x:rgbColor rgb="FF44546A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49adbdad14c22" /><Relationship Type="http://schemas.openxmlformats.org/officeDocument/2006/relationships/theme" Target="/xl/theme/theme1.xml" Id="R1c7fb78a0aef4ee4" /><Relationship Type="http://schemas.openxmlformats.org/officeDocument/2006/relationships/sharedStrings" Target="/xl/sharedStrings.xml" Id="R512b1b23856941ef" /><Relationship Type="http://schemas.openxmlformats.org/officeDocument/2006/relationships/worksheet" Target="/xl/worksheets/sheet1.xml" Id="R5637ee8b75884cd8" /><Relationship Type="http://schemas.openxmlformats.org/officeDocument/2006/relationships/worksheet" Target="/xl/worksheets/sheet2.xml" Id="Rffd04e64e8914bb0" /><Relationship Type="http://schemas.openxmlformats.org/officeDocument/2006/relationships/worksheet" Target="/xl/worksheets/sheet3.xml" Id="R53f02addfbef412e" /><Relationship Type="http://schemas.openxmlformats.org/officeDocument/2006/relationships/worksheet" Target="/xl/worksheets/sheet4.xml" Id="R2cbdbd00dfc9473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42" hidden="0" customWidth="1"/>
    <x:col min="2" max="4" width="30" style="42" customWidth="1"/>
    <x:col min="2" max="2" width="104" hidden="0" customWidth="1"/>
  </x:cols>
  <x:sheetData>
    <x:row r="1" s="43" customFormat="1" ht="34" customHeight="1">
      <x:c r="A1" s="284" t="str">
        <x:v>Grounded PPE Safety Copilot — CV + Vision-Language Model Project Plan</x:v>
      </x:c>
      <x:c r="B1" s="285"/>
      <x:c r="C1" s="285"/>
      <x:c r="D1" s="285"/>
    </x:row>
    <x:row r="2" s="43" customFormat="1" ht="26" customHeight="1">
      <x:c r="A2" s="202" t="str">
        <x:v>A portfolio research project combining visual detection, spatial reasoning, and multimodal language models</x:v>
      </x:c>
      <x:c r="B2" s="203"/>
      <x:c r="C2" s="203"/>
      <x:c r="D2" s="203"/>
    </x:row>
    <x:row r="3">
      <x:c r="A3" s="204"/>
      <x:c r="B3" s="204"/>
      <x:c r="C3" s="204"/>
      <x:c r="D3" s="204"/>
    </x:row>
    <x:row r="4">
      <x:c r="A4" s="204"/>
      <x:c r="B4" s="204"/>
      <x:c r="C4" s="204"/>
      <x:c r="D4" s="204"/>
    </x:row>
    <x:row r="5" s="43" customFormat="1" ht="24" customHeight="1">
      <x:c r="A5" s="288" t="str">
        <x:v>THE GOAL</x:v>
      </x:c>
      <x:c r="B5" s="289"/>
      <x:c r="C5" s="289"/>
      <x:c r="D5" s="289"/>
    </x:row>
    <x:row r="6" s="43" customFormat="1" ht="48" customHeight="1">
      <x:c r="A6" s="187" t="str">
        <x:v>What you'll build</x:v>
      </x:c>
      <x:c r="B6" s="196" t="str">
        <x:v>A grounded PPE safety assistant: it detects people, hardhats, and safety vests; associates equipment with each person; then uses a vision-language model to produce evidence-linked compliance JSON, explanations, and uncertainty warnings in a Gradio demo.</x:v>
      </x:c>
      <x:c r="C6" s="204"/>
      <x:c r="D6" s="204"/>
    </x:row>
    <x:row r="7" s="43" customFormat="1" ht="48" customHeight="1">
      <x:c r="A7" s="187" t="str">
        <x:v>Research question</x:v>
      </x:c>
      <x:c r="B7" s="196" t="str">
        <x:v>Under Google Colab constraints, does a hybrid system (open-vocabulary detector + explicit person–PPE rules + VLM) reduce false-safe decisions and unsupported claims compared with detector-only and VLM-only baselines?</x:v>
      </x:c>
      <x:c r="C7" s="204"/>
      <x:c r="D7" s="204"/>
    </x:row>
    <x:row r="8" s="43" customFormat="1" ht="48" customHeight="1">
      <x:c r="A8" s="187" t="str">
        <x:v>Estimated timeline</x:v>
      </x:c>
      <x:c r="B8" s="196" t="str">
        <x:v>7–9 weeks, part-time (~6–10 hrs/week). A 6-week MVP is acceptable; model comparisons and fine-tuning are stretch goals.</x:v>
      </x:c>
      <x:c r="C8" s="204"/>
      <x:c r="D8" s="204"/>
    </x:row>
    <x:row r="9" ht="24" customHeight="1">
      <x:c r="A9" s="204"/>
      <x:c r="B9" s="204"/>
      <x:c r="C9" s="204"/>
      <x:c r="D9" s="204"/>
    </x:row>
    <x:row r="10" s="43" customFormat="1" ht="24" customHeight="1">
      <x:c r="A10" s="288" t="str">
        <x:v>THE GOLDEN RULES</x:v>
      </x:c>
      <x:c r="B10" s="289"/>
      <x:c r="C10" s="289"/>
      <x:c r="D10" s="289"/>
    </x:row>
    <x:row r="11" s="43" customFormat="1" ht="42" customHeight="1">
      <x:c r="A11" s="187" t="str">
        <x:v>1. Keep the completed baseline</x:v>
      </x:c>
      <x:c r="B11" s="196" t="str">
        <x:v>Do not restart. Preserve the finished YOLO-World work as the detector-only baseline and build the VLM and hybrid stages on top of it.</x:v>
      </x:c>
      <x:c r="C11" s="204"/>
      <x:c r="D11" s="204"/>
    </x:row>
    <x:row r="12" s="43" customFormat="1" ht="42" customHeight="1">
      <x:c r="A12" s="187" t="str">
        <x:v>2. Ground every conclusion</x:v>
      </x:c>
      <x:c r="B12" s="196" t="str">
        <x:v>A safety conclusion must cite visible evidence: detection IDs, boxes or masks, person–PPE relationships, and an uncertainty state. The VLM must not invent evidence.</x:v>
      </x:c>
      <x:c r="C12" s="204"/>
      <x:c r="D12" s="204"/>
    </x:row>
    <x:row r="13" s="43" customFormat="1" ht="42" customHeight="1">
      <x:c r="A13" s="187" t="str">
        <x:v>3. Measure safety risk, not only mAP</x:v>
      </x:c>
      <x:c r="B13" s="196" t="str">
        <x:v>Report detection quality, person-level compliance F1, false-safe rate, unsupported-claim rate, latency, and memory. A high mAP alone does not make the system safe.</x:v>
      </x:c>
      <x:c r="C13" s="204"/>
      <x:c r="D13" s="204"/>
    </x:row>
    <x:row r="14" s="43" customFormat="1" ht="42" customHeight="1">
      <x:c r="A14" s="187" t="str">
        <x:v>4. Keep the work reproducible</x:v>
      </x:c>
      <x:c r="B14" s="196" t="str">
        <x:v>Record model versions, prompts, thresholds, splits, random seeds, failed experiments, and Colab hardware. These notes become the README and interview story.</x:v>
      </x:c>
      <x:c r="C14" s="204"/>
      <x:c r="D14" s="204"/>
    </x:row>
    <x:row r="15" ht="24" customHeight="1">
      <x:c r="A15" s="204"/>
      <x:c r="B15" s="204"/>
      <x:c r="C15" s="204"/>
      <x:c r="D15" s="204"/>
    </x:row>
    <x:row r="16" s="43" customFormat="1" ht="24" customHeight="1">
      <x:c r="A16" s="288" t="str">
        <x:v>CORE TECH STACK</x:v>
      </x:c>
      <x:c r="B16" s="289"/>
      <x:c r="C16" s="289"/>
      <x:c r="D16" s="289"/>
    </x:row>
    <x:row r="17" s="43" customFormat="1" ht="36" customHeight="1">
      <x:c r="A17" s="187" t="str">
        <x:v>Environment</x:v>
      </x:c>
      <x:c r="B17" s="196" t="str">
        <x:v>Google Colab GPU + Google Drive for persistent data and checkpoints</x:v>
      </x:c>
      <x:c r="C17" s="204"/>
      <x:c r="D17" s="204"/>
    </x:row>
    <x:row r="18" s="43" customFormat="1" ht="36" customHeight="1">
      <x:c r="A18" s="187" t="str">
        <x:v>Language / Frameworks</x:v>
      </x:c>
      <x:c r="B18" s="196" t="str">
        <x:v>Python, PyTorch, Ultralytics, Hugging Face Transformers</x:v>
      </x:c>
      <x:c r="C18" s="204"/>
      <x:c r="D18" s="204"/>
    </x:row>
    <x:row r="19" s="43" customFormat="1" ht="36" customHeight="1">
      <x:c r="A19" s="187" t="str">
        <x:v>Perception models</x:v>
      </x:c>
      <x:c r="B19" s="196" t="str">
        <x:v>YOLO-World baseline; YOLOE-26s-seg comparison; Grounding DINO optional</x:v>
      </x:c>
      <x:c r="C19" s="204"/>
      <x:c r="D19" s="204"/>
    </x:row>
    <x:row r="20" s="43" customFormat="1" ht="36" customHeight="1">
      <x:c r="A20" s="187" t="str">
        <x:v>Vision-language model</x:v>
      </x:c>
      <x:c r="B20" s="196" t="str">
        <x:v>Qwen3-VL-2B-Instruct for image understanding, structured reasoning, and evidence-linked reports</x:v>
      </x:c>
      <x:c r="C20" s="204"/>
      <x:c r="D20" s="204"/>
    </x:row>
    <x:row r="21" s="43" customFormat="1" ht="36" customHeight="1">
      <x:c r="A21" s="187" t="str">
        <x:v>Data / labels</x:v>
      </x:c>
      <x:c r="B21" s="196" t="str">
        <x:v>PPE images with person, hardhat, safety-vest boxes; person–PPE associations; compliance labels; frozen train/validation/test splits</x:v>
      </x:c>
      <x:c r="C21" s="204"/>
      <x:c r="D21" s="204"/>
    </x:row>
    <x:row r="22" s="43" customFormat="1" ht="36" customHeight="1">
      <x:c r="A22" s="187" t="str">
        <x:v>Demo / hosting</x:v>
      </x:c>
      <x:c r="B22" s="196" t="str">
        <x:v>Gradio on Hugging Face Spaces; GitHub repository with notebooks, experiment tables, dataset card, model card, and README</x:v>
      </x:c>
      <x:c r="C22" s="204"/>
      <x:c r="D22" s="204"/>
    </x:row>
    <x:row r="23" ht="24" customHeight="1">
      <x:c r="A23" s="204"/>
      <x:c r="B23" s="204"/>
      <x:c r="C23" s="204"/>
      <x:c r="D23" s="204"/>
    </x:row>
    <x:row r="24" s="43" customFormat="1" ht="24" customHeight="1">
      <x:c r="A24" s="288" t="str">
        <x:v>HOW TO USE THIS FILE</x:v>
      </x:c>
      <x:c r="B24" s="289"/>
      <x:c r="C24" s="289"/>
      <x:c r="D24" s="289"/>
    </x:row>
    <x:row r="25" s="43" customFormat="1" ht="38" customHeight="1">
      <x:c r="A25" s="187" t="str">
        <x:v>Tabs</x:v>
      </x:c>
      <x:c r="B25" s="196" t="str">
        <x:v>Task Breakdown = the step-by-step checklist. Tools &amp; Resources = official links. Glossary = plain-English definitions of CV, VLM, evaluation, and research terms.</x:v>
      </x:c>
      <x:c r="C25" s="204"/>
      <x:c r="D25" s="204"/>
    </x:row>
    <x:row r="26" s="43" customFormat="1" ht="38" customHeight="1">
      <x:c r="A26" s="187" t="str">
        <x:v>Tracking</x:v>
      </x:c>
      <x:c r="B26" s="196" t="str">
        <x:v>Update the Status dropdown after evidence is saved (not merely after code runs). The progress formulas below update automatically.</x:v>
      </x:c>
      <x:c r="C26" s="204"/>
      <x:c r="D26" s="204"/>
    </x:row>
    <x:row r="27" ht="24" customHeight="1">
      <x:c r="A27" s="204"/>
      <x:c r="B27" s="204"/>
      <x:c r="C27" s="204"/>
      <x:c r="D27" s="204"/>
    </x:row>
    <x:row r="28" s="43" customFormat="1" ht="24" customHeight="1">
      <x:c r="A28" s="288" t="str">
        <x:v>PROGRESS</x:v>
      </x:c>
      <x:c r="B28" s="289"/>
      <x:c r="C28" s="289"/>
      <x:c r="D28" s="289"/>
    </x:row>
    <x:row r="29" s="43" customFormat="1" ht="24" customHeight="1">
      <x:c r="A29" s="207" t="str">
        <x:v>Tasks done</x:v>
      </x:c>
      <x:c r="B29" s="208" t="n">
        <x:f>COUNTIF('Task Breakdown'!$G$2:$G$47,"Done")</x:f>
        <x:v>5</x:v>
      </x:c>
      <x:c r="C29" s="204"/>
      <x:c r="D29" s="204"/>
    </x:row>
    <x:row r="30" s="43" customFormat="1" ht="24" customHeight="1">
      <x:c r="A30" s="207" t="str">
        <x:v>Total tasks</x:v>
      </x:c>
      <x:c r="B30" s="208" t="n">
        <x:f>COUNTA('Task Breakdown'!$B$2:$B$47)</x:f>
        <x:v>46</x:v>
      </x:c>
      <x:c r="C30" s="204"/>
      <x:c r="D30" s="204"/>
    </x:row>
    <x:row r="31" s="43" customFormat="1" ht="24" customHeight="1">
      <x:c r="A31" s="207" t="str">
        <x:v>% complete</x:v>
      </x:c>
      <x:c r="B31" s="209" t="n">
        <x:f>IF(B30=0,0,B29/B30)</x:f>
        <x:v>0.10869565217391304</x:v>
      </x:c>
      <x:c r="C31" s="204"/>
      <x:c r="D31" s="204"/>
    </x:row>
  </x:sheetData>
  <x:mergeCells>
    <x:mergeCell ref="A5:D5"/>
    <x:mergeCell ref="B11:D11"/>
    <x:mergeCell ref="B14:D14"/>
    <x:mergeCell ref="B8:D8"/>
    <x:mergeCell ref="B17:D17"/>
    <x:mergeCell ref="B13:D13"/>
    <x:mergeCell ref="A10:D10"/>
    <x:mergeCell ref="A28:D28"/>
    <x:mergeCell ref="B19:D19"/>
    <x:mergeCell ref="A24:D24"/>
    <x:mergeCell ref="B6:D6"/>
    <x:mergeCell ref="B20:D20"/>
    <x:mergeCell ref="A1:D1"/>
    <x:mergeCell ref="B26:D26"/>
    <x:mergeCell ref="A16:D16"/>
    <x:mergeCell ref="B7:D7"/>
    <x:mergeCell ref="B25:D25"/>
    <x:mergeCell ref="B22:D22"/>
    <x:mergeCell ref="B18:D18"/>
    <x:mergeCell ref="B21:D21"/>
    <x:mergeCell ref="A2:D2"/>
    <x:mergeCell ref="B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1" style="42" hidden="0" customWidth="1"/>
    <x:col min="2" max="2" width="7" style="42" hidden="0" customWidth="1"/>
    <x:col min="3" max="3" width="28" style="42" hidden="0" customWidth="1"/>
    <x:col min="4" max="4" width="72" style="42" hidden="0" customWidth="1"/>
    <x:col min="5" max="5" width="30" style="42" hidden="0" customWidth="1"/>
    <x:col min="6" max="6" width="12" style="42" hidden="0" customWidth="1"/>
    <x:col min="7" max="7" width="15" style="42" hidden="0" customWidth="1"/>
  </x:cols>
  <x:sheetData>
    <x:row r="1" s="43" customFormat="1" ht="28" customHeight="1">
      <x:c r="A1" s="292" t="str">
        <x:v>Phase</x:v>
      </x:c>
      <x:c r="B1" s="292" t="str">
        <x:v>Step</x:v>
      </x:c>
      <x:c r="C1" s="292" t="str">
        <x:v>Task</x:v>
      </x:c>
      <x:c r="D1" s="292" t="str">
        <x:v>What to do / how (detailed)</x:v>
      </x:c>
      <x:c r="E1" s="292" t="str">
        <x:v>Tools &amp; Resources</x:v>
      </x:c>
      <x:c r="F1" s="292" t="str">
        <x:v>Est. time</x:v>
      </x:c>
      <x:c r="G1" s="292" t="str">
        <x:v>Status</x:v>
      </x:c>
    </x:row>
    <x:row r="2" s="43" customFormat="1" ht="58" customHeight="1">
      <x:c r="A2" s="244" t="str">
        <x:v>Phase 0 — Setup &amp; Foundations</x:v>
      </x:c>
      <x:c r="B2" s="245" t="n">
        <x:v>1</x:v>
      </x:c>
      <x:c r="C2" s="246" t="str">
        <x:v>Create and verify accounts</x:v>
      </x:c>
      <x:c r="D2" s="247" t="str">
        <x:v>Verify Google, GitHub, and Hugging Face accounts. Record the GitHub repo and future Space URL in your notes; never store access tokens in notebooks.</x:v>
      </x:c>
      <x:c r="E2" s="247" t="str">
        <x:v>GitHub / Hugging Face / Google</x:v>
      </x:c>
      <x:c r="F2" s="245" t="str">
        <x:v>30 min</x:v>
      </x:c>
      <x:c r="G2" s="245" t="str">
        <x:v>Not started</x:v>
      </x:c>
    </x:row>
    <x:row r="3" s="43" customFormat="1" ht="58" customHeight="1">
      <x:c r="A3" s="244" t="str">
        <x:v>Phase 0 — Setup &amp; Foundations</x:v>
      </x:c>
      <x:c r="B3" s="245" t="n">
        <x:v>2</x:v>
      </x:c>
      <x:c r="C3" s="246" t="str">
        <x:v>Open Colab and enable GPU</x:v>
      </x:c>
      <x:c r="D3" s="247" t="str">
        <x:v>Create the project notebook, enable a GPU runtime, mount Google Drive, and save Python, PyTorch, CUDA, GPU, and package versions.</x:v>
      </x:c>
      <x:c r="E3" s="247" t="str">
        <x:v>Google Colab</x:v>
      </x:c>
      <x:c r="F3" s="245" t="str">
        <x:v>30 min</x:v>
      </x:c>
      <x:c r="G3" s="245" t="str">
        <x:v>Not started</x:v>
      </x:c>
    </x:row>
    <x:row r="4" s="43" customFormat="1" ht="58" customHeight="1">
      <x:c r="A4" s="244" t="str">
        <x:v>Phase 0 — Setup &amp; Foundations</x:v>
      </x:c>
      <x:c r="B4" s="245" t="n">
        <x:v>3</x:v>
      </x:c>
      <x:c r="C4" s="246" t="str">
        <x:v>Finish Git repo setup</x:v>
      </x:c>
      <x:c r="D4" s="247" t="str">
        <x:v>The repository exists and is connected. Commit the .gitignore, keep data/models/secrets out of Git, and confirm that main pushes successfully.</x:v>
      </x:c>
      <x:c r="E4" s="247" t="str">
        <x:v>GitHub</x:v>
      </x:c>
      <x:c r="F4" s="245" t="str">
        <x:v>1 hr</x:v>
      </x:c>
      <x:c r="G4" s="245" t="str">
        <x:v>Done</x:v>
      </x:c>
    </x:row>
    <x:row r="5" s="43" customFormat="1" ht="58" customHeight="1">
      <x:c r="A5" s="244" t="str">
        <x:v>Phase 0 — Setup &amp; Foundations</x:v>
      </x:c>
      <x:c r="B5" s="245" t="n">
        <x:v>4</x:v>
      </x:c>
      <x:c r="C5" s="246" t="str">
        <x:v>Python refresher</x:v>
      </x:c>
      <x:c r="D5" s="247" t="str">
        <x:v>Be comfortable reading and editing functions, loops, lists, dictionaries, files, JSON, and basic pandas tables.</x:v>
      </x:c>
      <x:c r="E5" s="247" t="str">
        <x:v>Python tutorial</x:v>
      </x:c>
      <x:c r="F5" s="245" t="str">
        <x:v>2–4 hrs</x:v>
      </x:c>
      <x:c r="G5" s="245" t="str">
        <x:v>Not started</x:v>
      </x:c>
    </x:row>
    <x:row r="6" s="43" customFormat="1" ht="58" customHeight="1">
      <x:c r="A6" s="244" t="str">
        <x:v>Phase 0 — Setup &amp; Foundations</x:v>
      </x:c>
      <x:c r="B6" s="245" t="n">
        <x:v>5</x:v>
      </x:c>
      <x:c r="C6" s="246" t="str">
        <x:v>PyTorch refresher</x:v>
      </x:c>
      <x:c r="D6" s="247" t="str">
        <x:v>Understand tensors, models, inference, GPU placement, no_grad/inference_mode, and why pretrained weights are reused.</x:v>
      </x:c>
      <x:c r="E6" s="247" t="str">
        <x:v>PyTorch 60-Minute Blitz</x:v>
      </x:c>
      <x:c r="F6" s="245" t="str">
        <x:v>3–4 hrs</x:v>
      </x:c>
      <x:c r="G6" s="245" t="str">
        <x:v>Not started</x:v>
      </x:c>
    </x:row>
    <x:row r="7" s="43" customFormat="1" ht="58" customHeight="1">
      <x:c r="A7" s="244" t="str">
        <x:v>Phase 0 — Setup &amp; Foundations</x:v>
      </x:c>
      <x:c r="B7" s="245" t="n">
        <x:v>6</x:v>
      </x:c>
      <x:c r="C7" s="246" t="str">
        <x:v>Learn core CV concepts</x:v>
      </x:c>
      <x:c r="D7" s="247" t="str">
        <x:v>Understand detection, segmentation, bounding boxes, masks, confidence, IoU, NMS, precision, recall, and mAP.</x:v>
      </x:c>
      <x:c r="E7" s="247" t="str">
        <x:v>Glossary / Ultralytics metrics</x:v>
      </x:c>
      <x:c r="F7" s="245" t="str">
        <x:v>2–3 hrs</x:v>
      </x:c>
      <x:c r="G7" s="245" t="str">
        <x:v>Not started</x:v>
      </x:c>
    </x:row>
    <x:row r="8" s="43" customFormat="1" ht="58" customHeight="1">
      <x:c r="A8" s="244" t="str">
        <x:v>Phase 0 — Setup &amp; Foundations</x:v>
      </x:c>
      <x:c r="B8" s="245" t="n">
        <x:v>7</x:v>
      </x:c>
      <x:c r="C8" s="246" t="str">
        <x:v>Learn VLM concepts</x:v>
      </x:c>
      <x:c r="D8" s="247" t="str">
        <x:v>Understand vision encoders, image tokens, multimodal prompting, visual grounding, structured outputs, hallucination, and evidence grounding.</x:v>
      </x:c>
      <x:c r="E8" s="247" t="str">
        <x:v>Qwen3-VL / Transformers</x:v>
      </x:c>
      <x:c r="F8" s="245" t="str">
        <x:v>3–4 hrs</x:v>
      </x:c>
      <x:c r="G8" s="245" t="str">
        <x:v>Not started</x:v>
      </x:c>
    </x:row>
    <x:row r="9" s="43" customFormat="1" ht="58" customHeight="1">
      <x:c r="A9" s="249" t="str">
        <x:v>Phase 1 — Freeze detector baseline</x:v>
      </x:c>
      <x:c r="B9" s="250" t="n">
        <x:v>8</x:v>
      </x:c>
      <x:c r="C9" s="251" t="str">
        <x:v>Keep YOLO-World as the baseline</x:v>
      </x:c>
      <x:c r="D9" s="252" t="str">
        <x:v>Preserve the completed YOLO-World approach as the detector-only baseline. Do not replace it or erase its outputs.</x:v>
      </x:c>
      <x:c r="E9" s="252" t="str">
        <x:v>Ultralytics YOLO-World</x:v>
      </x:c>
      <x:c r="F9" s="250" t="str">
        <x:v>30 min</x:v>
      </x:c>
      <x:c r="G9" s="250" t="str">
        <x:v>Done</x:v>
      </x:c>
    </x:row>
    <x:row r="10" s="43" customFormat="1" ht="58" customHeight="1">
      <x:c r="A10" s="249" t="str">
        <x:v>Phase 1 — Freeze detector baseline</x:v>
      </x:c>
      <x:c r="B10" s="250" t="n">
        <x:v>9</x:v>
      </x:c>
      <x:c r="C10" s="251" t="str">
        <x:v>Install and load YOLO-World</x:v>
      </x:c>
      <x:c r="D10" s="252" t="str">
        <x:v>Keep a clean Colab cell that installs a recorded Ultralytics version, loads the selected checkpoint, and reports the runtime environment.</x:v>
      </x:c>
      <x:c r="E10" s="252" t="str">
        <x:v>Ultralytics</x:v>
      </x:c>
      <x:c r="F10" s="250" t="str">
        <x:v>1 hr</x:v>
      </x:c>
      <x:c r="G10" s="250" t="str">
        <x:v>Done</x:v>
      </x:c>
    </x:row>
    <x:row r="11" s="43" customFormat="1" ht="58" customHeight="1">
      <x:c r="A11" s="249" t="str">
        <x:v>Phase 1 — Freeze detector baseline</x:v>
      </x:c>
      <x:c r="B11" s="250" t="n">
        <x:v>10</x:v>
      </x:c>
      <x:c r="C11" s="251" t="str">
        <x:v>Run the first open-vocabulary detection</x:v>
      </x:c>
      <x:c r="D11" s="252" t="str">
        <x:v>Run one reproducible example with an image and a class list; save boxes, class names, confidence scores, and the annotated image.</x:v>
      </x:c>
      <x:c r="E11" s="252" t="str">
        <x:v>YOLO-World</x:v>
      </x:c>
      <x:c r="F11" s="250" t="str">
        <x:v>1–2 hrs</x:v>
      </x:c>
      <x:c r="G11" s="250" t="str">
        <x:v>Done</x:v>
      </x:c>
    </x:row>
    <x:row r="12" s="43" customFormat="1" ht="58" customHeight="1">
      <x:c r="A12" s="249" t="str">
        <x:v>Phase 1 — Freeze detector baseline</x:v>
      </x:c>
      <x:c r="B12" s="250" t="n">
        <x:v>11</x:v>
      </x:c>
      <x:c r="C12" s="251" t="str">
        <x:v>Visualise and test prompts</x:v>
      </x:c>
      <x:c r="D12" s="252" t="str">
        <x:v>Compare several class-name and synonym prompt sets using the same image, model, image size, and confidence threshold.</x:v>
      </x:c>
      <x:c r="E12" s="252" t="str">
        <x:v>Ultralytics / matplotlib</x:v>
      </x:c>
      <x:c r="F12" s="250" t="str">
        <x:v>2 hrs</x:v>
      </x:c>
      <x:c r="G12" s="250" t="str">
        <x:v>Done</x:v>
      </x:c>
    </x:row>
    <x:row r="13" s="43" customFormat="1" ht="58" customHeight="1">
      <x:c r="A13" s="249" t="str">
        <x:v>Phase 1 — Freeze detector baseline</x:v>
      </x:c>
      <x:c r="B13" s="250" t="n">
        <x:v>12</x:v>
      </x:c>
      <x:c r="C13" s="251" t="str">
        <x:v>Explain detector inputs and outputs</x:v>
      </x:c>
      <x:c r="D13" s="252" t="str">
        <x:v>Write a short explanation of image input, class prompts, xyxy boxes, class IDs, confidence, threshold effects, and typical failure modes.</x:v>
      </x:c>
      <x:c r="E13" s="252" t="str">
        <x:v>Project notes</x:v>
      </x:c>
      <x:c r="F13" s="250" t="str">
        <x:v>1–2 hrs</x:v>
      </x:c>
      <x:c r="G13" s="250" t="str">
        <x:v>Not started</x:v>
      </x:c>
    </x:row>
    <x:row r="14" s="43" customFormat="1" ht="58" customHeight="1">
      <x:c r="A14" s="249" t="str">
        <x:v>Phase 1 — Freeze detector baseline</x:v>
      </x:c>
      <x:c r="B14" s="250" t="n">
        <x:v>13</x:v>
      </x:c>
      <x:c r="C14" s="251" t="str">
        <x:v>Publish the baseline notebook</x:v>
      </x:c>
      <x:c r="D14" s="252" t="str">
        <x:v>Save a clean 01_yoloworld_baseline.ipynb with deterministic inputs, environment versions, outputs, and a short limitations section.</x:v>
      </x:c>
      <x:c r="E14" s="252" t="str">
        <x:v>Colab / GitHub</x:v>
      </x:c>
      <x:c r="F14" s="250" t="str">
        <x:v>2 hrs</x:v>
      </x:c>
      <x:c r="G14" s="250" t="str">
        <x:v>Not started</x:v>
      </x:c>
    </x:row>
    <x:row r="15" s="43" customFormat="1" ht="58" customHeight="1">
      <x:c r="A15" s="254" t="str">
        <x:v>Phase 2 — Run a VLM baseline</x:v>
      </x:c>
      <x:c r="B15" s="255" t="n">
        <x:v>14</x:v>
      </x:c>
      <x:c r="C15" s="256" t="str">
        <x:v>Choose the VLM</x:v>
      </x:c>
      <x:c r="D15" s="257" t="str">
        <x:v>Use Qwen3-VL-2B-Instruct as the Colab starting point. Record its exact revision and licence; use quantisation only if the runtime requires it.</x:v>
      </x:c>
      <x:c r="E15" s="257" t="str">
        <x:v>Qwen3-VL model card</x:v>
      </x:c>
      <x:c r="F15" s="255" t="str">
        <x:v>1 hr</x:v>
      </x:c>
      <x:c r="G15" s="255" t="str">
        <x:v>Not started</x:v>
      </x:c>
    </x:row>
    <x:row r="16" s="43" customFormat="1" ht="58" customHeight="1">
      <x:c r="A16" s="254" t="str">
        <x:v>Phase 2 — Run a VLM baseline</x:v>
      </x:c>
      <x:c r="B16" s="255" t="n">
        <x:v>15</x:v>
      </x:c>
      <x:c r="C16" s="256" t="str">
        <x:v>Install and load the VLM</x:v>
      </x:c>
      <x:c r="D16" s="257" t="str">
        <x:v>Create 02_qwen3_vl_baseline.ipynb, load the processor and model, run one image-to-text request, and record GPU memory usage.</x:v>
      </x:c>
      <x:c r="E16" s="257" t="str">
        <x:v>Transformers / Qwen3-VL</x:v>
      </x:c>
      <x:c r="F16" s="255" t="str">
        <x:v>2–3 hrs</x:v>
      </x:c>
      <x:c r="G16" s="255" t="str">
        <x:v>Not started</x:v>
      </x:c>
    </x:row>
    <x:row r="17" s="43" customFormat="1" ht="58" customHeight="1">
      <x:c r="A17" s="254" t="str">
        <x:v>Phase 2 — Run a VLM baseline</x:v>
      </x:c>
      <x:c r="B17" s="255" t="n">
        <x:v>16</x:v>
      </x:c>
      <x:c r="C17" s="256" t="str">
        <x:v>Test image description and VQA</x:v>
      </x:c>
      <x:c r="D17" s="257" t="str">
        <x:v>Ask controlled PPE questions such as what equipment is visible, who appears non-compliant, and which evidence supports the answer. Save raw responses.</x:v>
      </x:c>
      <x:c r="E17" s="257" t="str">
        <x:v>Qwen3-VL</x:v>
      </x:c>
      <x:c r="F17" s="255" t="str">
        <x:v>2–3 hrs</x:v>
      </x:c>
      <x:c r="G17" s="255" t="str">
        <x:v>Not started</x:v>
      </x:c>
    </x:row>
    <x:row r="18" s="43" customFormat="1" ht="58" customHeight="1">
      <x:c r="A18" s="254" t="str">
        <x:v>Phase 2 — Run a VLM baseline</x:v>
      </x:c>
      <x:c r="B18" s="255" t="n">
        <x:v>17</x:v>
      </x:c>
      <x:c r="C18" s="256" t="str">
        <x:v>Define a structured JSON output</x:v>
      </x:c>
      <x:c r="D18" s="257" t="str">
        <x:v>Require person_id, PPE status, violations, evidence IDs, explanation, and uncertain. Validate every response against a fixed schema.</x:v>
      </x:c>
      <x:c r="E18" s="257" t="str">
        <x:v>JSON Schema</x:v>
      </x:c>
      <x:c r="F18" s="255" t="str">
        <x:v>2–3 hrs</x:v>
      </x:c>
      <x:c r="G18" s="255" t="str">
        <x:v>Not started</x:v>
      </x:c>
    </x:row>
    <x:row r="19" s="43" customFormat="1" ht="58" customHeight="1">
      <x:c r="A19" s="254" t="str">
        <x:v>Phase 2 — Run a VLM baseline</x:v>
      </x:c>
      <x:c r="B19" s="255" t="n">
        <x:v>18</x:v>
      </x:c>
      <x:c r="C19" s="256" t="str">
        <x:v>Probe hallucination and uncertainty</x:v>
      </x:c>
      <x:c r="D19" s="257" t="str">
        <x:v>Create clear, crowded, occluded, small-object, and no-PPE test cases. Record unsupported claims and whether the model admits uncertainty.</x:v>
      </x:c>
      <x:c r="E19" s="257" t="str">
        <x:v>Project test images</x:v>
      </x:c>
      <x:c r="F19" s="255" t="str">
        <x:v>3 hrs</x:v>
      </x:c>
      <x:c r="G19" s="255" t="str">
        <x:v>Not started</x:v>
      </x:c>
    </x:row>
    <x:row r="20" s="43" customFormat="1" ht="58" customHeight="1">
      <x:c r="A20" s="254" t="str">
        <x:v>Phase 2 — Run a VLM baseline</x:v>
      </x:c>
      <x:c r="B20" s="255" t="n">
        <x:v>19</x:v>
      </x:c>
      <x:c r="C20" s="256" t="str">
        <x:v>Freeze the VLM-only baseline</x:v>
      </x:c>
      <x:c r="D20" s="257" t="str">
        <x:v>Save the prompts, generation settings, structured-output validity, example successes, failures, latency, and memory before adding detector evidence.</x:v>
      </x:c>
      <x:c r="E20" s="257" t="str">
        <x:v>Experiment table</x:v>
      </x:c>
      <x:c r="F20" s="255" t="str">
        <x:v>2 hrs</x:v>
      </x:c>
      <x:c r="G20" s="255" t="str">
        <x:v>Not started</x:v>
      </x:c>
    </x:row>
    <x:row r="21" s="43" customFormat="1" ht="58" customHeight="1">
      <x:c r="A21" s="259" t="str">
        <x:v>Phase 3 — Define problem &amp; data</x:v>
      </x:c>
      <x:c r="B21" s="260" t="n">
        <x:v>20</x:v>
      </x:c>
      <x:c r="C21" s="261" t="str">
        <x:v>Freeze the research question</x:v>
      </x:c>
      <x:c r="D21" s="262" t="str">
        <x:v>Use the question: does detector + explicit spatial rules + VLM reduce false-safe decisions and unsupported claims versus detector-only and VLM-only baselines?</x:v>
      </x:c>
      <x:c r="E21" s="262" t="str">
        <x:v>Research protocol</x:v>
      </x:c>
      <x:c r="F21" s="260" t="str">
        <x:v>1 hr</x:v>
      </x:c>
      <x:c r="G21" s="260" t="str">
        <x:v>Not started</x:v>
      </x:c>
    </x:row>
    <x:row r="22" s="43" customFormat="1" ht="58" customHeight="1">
      <x:c r="A22" s="259" t="str">
        <x:v>Phase 3 — Define problem &amp; data</x:v>
      </x:c>
      <x:c r="B22" s="260" t="n">
        <x:v>21</x:v>
      </x:c>
      <x:c r="C22" s="261" t="str">
        <x:v>Define PPE classes and rules</x:v>
      </x:c>
      <x:c r="D22" s="262" t="str">
        <x:v>Start with person, hardhat, and safety vest. Define per-person rules and an uncertain state. Do not treat 'person wearing a helmet' as one ordinary object class.</x:v>
      </x:c>
      <x:c r="E22" s="262" t="str">
        <x:v>PPE policy notes</x:v>
      </x:c>
      <x:c r="F22" s="260" t="str">
        <x:v>2 hrs</x:v>
      </x:c>
      <x:c r="G22" s="260" t="str">
        <x:v>Not started</x:v>
      </x:c>
    </x:row>
    <x:row r="23" s="43" customFormat="1" ht="58" customHeight="1">
      <x:c r="A23" s="259" t="str">
        <x:v>Phase 3 — Define problem &amp; data</x:v>
      </x:c>
      <x:c r="B23" s="260" t="n">
        <x:v>22</x:v>
      </x:c>
      <x:c r="C23" s="261" t="str">
        <x:v>Select and licence the dataset</x:v>
      </x:c>
      <x:c r="D23" s="262" t="str">
        <x:v>Choose a labelled PPE dataset or collect images. Record source, licence, privacy constraints, class definitions, and permitted redistribution.</x:v>
      </x:c>
      <x:c r="E23" s="262" t="str">
        <x:v>Roboflow Universe / dataset card</x:v>
      </x:c>
      <x:c r="F23" s="260" t="str">
        <x:v>3–5 hrs</x:v>
      </x:c>
      <x:c r="G23" s="260" t="str">
        <x:v>Not started</x:v>
      </x:c>
    </x:row>
    <x:row r="24" s="43" customFormat="1" ht="58" customHeight="1">
      <x:c r="A24" s="259" t="str">
        <x:v>Phase 3 — Define problem &amp; data</x:v>
      </x:c>
      <x:c r="B24" s="260" t="n">
        <x:v>23</x:v>
      </x:c>
      <x:c r="C24" s="261" t="str">
        <x:v>Create group-aware splits</x:v>
      </x:c>
      <x:c r="D24" s="262" t="str">
        <x:v>Create train, validation, and frozen test splits by video, site, or capture session. Never place adjacent frames or duplicates in different splits.</x:v>
      </x:c>
      <x:c r="E24" s="262" t="str">
        <x:v>Python / Google Drive</x:v>
      </x:c>
      <x:c r="F24" s="260" t="str">
        <x:v>2–4 hrs</x:v>
      </x:c>
      <x:c r="G24" s="260" t="str">
        <x:v>Not started</x:v>
      </x:c>
    </x:row>
    <x:row r="25" s="43" customFormat="1" ht="58" customHeight="1">
      <x:c r="A25" s="259" t="str">
        <x:v>Phase 3 — Define problem &amp; data</x:v>
      </x:c>
      <x:c r="B25" s="260" t="n">
        <x:v>24</x:v>
      </x:c>
      <x:c r="C25" s="261" t="str">
        <x:v>Design the annotation schema</x:v>
      </x:c>
      <x:c r="D25" s="262" t="str">
        <x:v>Store image ID, boxes/masks, classes, person–PPE associations, per-person compliance, violation type, evidence IDs, ambiguity, and reviewer notes.</x:v>
      </x:c>
      <x:c r="E25" s="262" t="str">
        <x:v>Roboflow / JSON</x:v>
      </x:c>
      <x:c r="F25" s="260" t="str">
        <x:v>3–5 hrs</x:v>
      </x:c>
      <x:c r="G25" s="260" t="str">
        <x:v>Not started</x:v>
      </x:c>
    </x:row>
    <x:row r="26" s="43" customFormat="1" ht="58" customHeight="1">
      <x:c r="A26" s="259" t="str">
        <x:v>Phase 3 — Define problem &amp; data</x:v>
      </x:c>
      <x:c r="B26" s="260" t="n">
        <x:v>25</x:v>
      </x:c>
      <x:c r="C26" s="261" t="str">
        <x:v>Audit annotations and duplicates</x:v>
      </x:c>
      <x:c r="D26" s="262" t="str">
        <x:v>Check corrupt images, missing labels, invalid boxes, class imbalance, duplicate images, tiny objects, occlusion, and inconsistent safety labels.</x:v>
      </x:c>
      <x:c r="E26" s="262" t="str">
        <x:v>Dataset audit notebook</x:v>
      </x:c>
      <x:c r="F26" s="260" t="str">
        <x:v>3–5 hrs</x:v>
      </x:c>
      <x:c r="G26" s="260" t="str">
        <x:v>Not started</x:v>
      </x:c>
    </x:row>
    <x:row r="27" s="43" customFormat="1" ht="58" customHeight="1">
      <x:c r="A27" s="259" t="str">
        <x:v>Phase 3 — Define problem &amp; data</x:v>
      </x:c>
      <x:c r="B27" s="260" t="n">
        <x:v>26</x:v>
      </x:c>
      <x:c r="C27" s="261" t="str">
        <x:v>Write the dataset card</x:v>
      </x:c>
      <x:c r="D27" s="262" t="str">
        <x:v>Document collection, licence, splits, classes, annotation rules, demographic or scene limitations, known biases, and prohibited uses.</x:v>
      </x:c>
      <x:c r="E27" s="262" t="str">
        <x:v>GitHub Markdown</x:v>
      </x:c>
      <x:c r="F27" s="260" t="str">
        <x:v>2–3 hrs</x:v>
      </x:c>
      <x:c r="G27" s="260" t="str">
        <x:v>Not started</x:v>
      </x:c>
    </x:row>
    <x:row r="28" s="43" customFormat="1" ht="58" customHeight="1">
      <x:c r="A28" s="264" t="str">
        <x:v>Phase 4 — Build &amp; evaluate hybrid system</x:v>
      </x:c>
      <x:c r="B28" s="265" t="n">
        <x:v>27</x:v>
      </x:c>
      <x:c r="C28" s="266" t="str">
        <x:v>Learn the complete metric set</x:v>
      </x:c>
      <x:c r="D28" s="267" t="str">
        <x:v>Use mAP50-95 and per-class P/R for perception; association accuracy and macro-F1 for relations; false-safe rate for safety; schema validity and unsupported-claim rate for the VLM.</x:v>
      </x:c>
      <x:c r="E28" s="267" t="str">
        <x:v>Ultralytics validation / Glossary</x:v>
      </x:c>
      <x:c r="F28" s="265" t="str">
        <x:v>3 hrs</x:v>
      </x:c>
      <x:c r="G28" s="265" t="str">
        <x:v>Not started</x:v>
      </x:c>
    </x:row>
    <x:row r="29" s="43" customFormat="1" ht="58" customHeight="1">
      <x:c r="A29" s="264" t="str">
        <x:v>Phase 4 — Build &amp; evaluate hybrid system</x:v>
      </x:c>
      <x:c r="B29" s="265" t="n">
        <x:v>28</x:v>
      </x:c>
      <x:c r="C29" s="266" t="str">
        <x:v>Build the frozen ground-truth test set</x:v>
      </x:c>
      <x:c r="D29" s="267" t="str">
        <x:v>Human-verify boxes, person–PPE relationships, compliance labels, and ambiguous cases. Do not use the test set for prompt or threshold selection.</x:v>
      </x:c>
      <x:c r="E29" s="267" t="str">
        <x:v>Annotation tool</x:v>
      </x:c>
      <x:c r="F29" s="265" t="str">
        <x:v>4–8 hrs</x:v>
      </x:c>
      <x:c r="G29" s="265" t="str">
        <x:v>Not started</x:v>
      </x:c>
    </x:row>
    <x:row r="30" s="43" customFormat="1" ht="58" customHeight="1">
      <x:c r="A30" s="264" t="str">
        <x:v>Phase 4 — Build &amp; evaluate hybrid system</x:v>
      </x:c>
      <x:c r="B30" s="265" t="n">
        <x:v>29</x:v>
      </x:c>
      <x:c r="C30" s="266" t="str">
        <x:v>Measure the detector-only baseline</x:v>
      </x:c>
      <x:c r="D30" s="267" t="str">
        <x:v>Evaluate the saved YOLO-World baseline with fixed prompts and thresholds. Record metrics, runtime, memory, and error examples.</x:v>
      </x:c>
      <x:c r="E30" s="267" t="str">
        <x:v>Ultralytics val / custom evaluator</x:v>
      </x:c>
      <x:c r="F30" s="265" t="str">
        <x:v>3–4 hrs</x:v>
      </x:c>
      <x:c r="G30" s="265" t="str">
        <x:v>Not started</x:v>
      </x:c>
    </x:row>
    <x:row r="31" s="43" customFormat="1" ht="58" customHeight="1">
      <x:c r="A31" s="264" t="str">
        <x:v>Phase 4 — Build &amp; evaluate hybrid system</x:v>
      </x:c>
      <x:c r="B31" s="265" t="n">
        <x:v>30</x:v>
      </x:c>
      <x:c r="C31" s="266" t="str">
        <x:v>Measure the VLM-only baseline</x:v>
      </x:c>
      <x:c r="D31" s="267" t="str">
        <x:v>Evaluate direct image-to-compliance answers without detector JSON. Record decision F1, false-safe rate, schema validity, unsupported claims, and latency.</x:v>
      </x:c>
      <x:c r="E31" s="267" t="str">
        <x:v>Qwen3-VL evaluator</x:v>
      </x:c>
      <x:c r="F31" s="265" t="str">
        <x:v>3–4 hrs</x:v>
      </x:c>
      <x:c r="G31" s="265" t="str">
        <x:v>Not started</x:v>
      </x:c>
    </x:row>
    <x:row r="32" s="43" customFormat="1" ht="58" customHeight="1">
      <x:c r="A32" s="264" t="str">
        <x:v>Phase 4 — Build &amp; evaluate hybrid system</x:v>
      </x:c>
      <x:c r="B32" s="265" t="n">
        <x:v>31</x:v>
      </x:c>
      <x:c r="C32" s="266" t="str">
        <x:v>Build person–PPE association rules</x:v>
      </x:c>
      <x:c r="D32" s="267" t="str">
        <x:v>Associate hardhats with head regions and vests with torso regions using containment, overlap, centre distance, and explicit uncertainty for conflicts.</x:v>
      </x:c>
      <x:c r="E32" s="267" t="str">
        <x:v>Python / geometry</x:v>
      </x:c>
      <x:c r="F32" s="265" t="str">
        <x:v>4–6 hrs</x:v>
      </x:c>
      <x:c r="G32" s="265" t="str">
        <x:v>Not started</x:v>
      </x:c>
    </x:row>
    <x:row r="33" ht="58" customHeight="1">
      <x:c r="A33" s="269" t="str">
        <x:v>Phase 4 — Build &amp; evaluate hybrid system</x:v>
      </x:c>
      <x:c r="B33" s="270" t="n">
        <x:v>32</x:v>
      </x:c>
      <x:c r="C33" s="271" t="str">
        <x:v>Build the grounded hybrid pipeline</x:v>
      </x:c>
      <x:c r="D33" s="272" t="str">
        <x:v>Pass the original image or person crops, detector JSON, association results, and safety rules to the VLM. Require evidence IDs and reject malformed outputs.</x:v>
      </x:c>
      <x:c r="E33" s="272" t="str">
        <x:v>YOLO-World + Qwen3-VL</x:v>
      </x:c>
      <x:c r="F33" s="270" t="str">
        <x:v>5–8 hrs</x:v>
      </x:c>
      <x:c r="G33" s="270" t="str">
        <x:v>Not started</x:v>
      </x:c>
    </x:row>
    <x:row r="34" ht="58" customHeight="1">
      <x:c r="A34" s="269" t="str">
        <x:v>Phase 4 — Build &amp; evaluate hybrid system</x:v>
      </x:c>
      <x:c r="B34" s="270" t="n">
        <x:v>33</x:v>
      </x:c>
      <x:c r="C34" s="271" t="str">
        <x:v>Run prompt and threshold ablations</x:v>
      </x:c>
      <x:c r="D34" s="272" t="str">
        <x:v>Change one factor at a time: class wording, detector threshold, VLM prompt, crop strategy, and uncertainty instruction. Keep splits and models fixed.</x:v>
      </x:c>
      <x:c r="E34" s="272" t="str">
        <x:v>Experiment protocol</x:v>
      </x:c>
      <x:c r="F34" s="270" t="str">
        <x:v>4–6 hrs</x:v>
      </x:c>
      <x:c r="G34" s="270" t="str">
        <x:v>Not started</x:v>
      </x:c>
    </x:row>
    <x:row r="35" ht="58" customHeight="1">
      <x:c r="A35" s="269" t="str">
        <x:v>Phase 4 — Build &amp; evaluate hybrid system</x:v>
      </x:c>
      <x:c r="B35" s="270" t="n">
        <x:v>34</x:v>
      </x:c>
      <x:c r="C35" s="271" t="str">
        <x:v>Compare a modern perception model</x:v>
      </x:c>
      <x:c r="D35" s="272" t="str">
        <x:v>Compare YOLOE-26s-seg with YOLO-World on the same subset. Grounding DINO is optional if time remains; report accuracy-speed trade-offs.</x:v>
      </x:c>
      <x:c r="E35" s="272" t="str">
        <x:v>YOLOE / Grounding DINO</x:v>
      </x:c>
      <x:c r="F35" s="270" t="str">
        <x:v>4–6 hrs</x:v>
      </x:c>
      <x:c r="G35" s="270" t="str">
        <x:v>Not started</x:v>
      </x:c>
    </x:row>
    <x:row r="36" ht="58" customHeight="1">
      <x:c r="A36" s="269" t="str">
        <x:v>Phase 4 — Build &amp; evaluate hybrid system</x:v>
      </x:c>
      <x:c r="B36" s="270" t="n">
        <x:v>35</x:v>
      </x:c>
      <x:c r="C36" s="271" t="str">
        <x:v>Fine-tune only if justified</x:v>
      </x:c>
      <x:c r="D36" s="272" t="str">
        <x:v>Optional: fine-tune a small detector or use LoRA for the VLM only after zero-shot baselines expose a specific failure. Never train a foundation model from scratch.</x:v>
      </x:c>
      <x:c r="E36" s="272" t="str">
        <x:v>Ultralytics / PEFT</x:v>
      </x:c>
      <x:c r="F36" s="270" t="str">
        <x:v>1 week</x:v>
      </x:c>
      <x:c r="G36" s="270" t="str">
        <x:v>Not started</x:v>
      </x:c>
    </x:row>
    <x:row r="37" ht="58" customHeight="1">
      <x:c r="A37" s="269" t="str">
        <x:v>Phase 4 — Build &amp; evaluate hybrid system</x:v>
      </x:c>
      <x:c r="B37" s="270" t="n">
        <x:v>36</x:v>
      </x:c>
      <x:c r="C37" s="271" t="str">
        <x:v>Record results and error analysis</x:v>
      </x:c>
      <x:c r="D37" s="272" t="str">
        <x:v>Compare detector-only, VLM-only, rules-only, and hybrid systems. Report confidence intervals or bootstrap ranges, false-safe cases, hallucinations, and qualitative examples.</x:v>
      </x:c>
      <x:c r="E37" s="272" t="str">
        <x:v>Results table / error gallery</x:v>
      </x:c>
      <x:c r="F37" s="270" t="str">
        <x:v>4–6 hrs</x:v>
      </x:c>
      <x:c r="G37" s="270" t="str">
        <x:v>Not started</x:v>
      </x:c>
    </x:row>
    <x:row r="38" ht="58" customHeight="1">
      <x:c r="A38" s="274" t="str">
        <x:v>Phase 5 — Build the demo</x:v>
      </x:c>
      <x:c r="B38" s="275" t="n">
        <x:v>37</x:v>
      </x:c>
      <x:c r="C38" s="276" t="str">
        <x:v>Learn Gradio basics</x:v>
      </x:c>
      <x:c r="D38" s="277" t="str">
        <x:v>Understand image upload, policy/question input, annotated-image output, table/JSON output, examples, errors, and queue behaviour.</x:v>
      </x:c>
      <x:c r="E38" s="277" t="str">
        <x:v>Gradio</x:v>
      </x:c>
      <x:c r="F38" s="275" t="str">
        <x:v>1–2 hrs</x:v>
      </x:c>
      <x:c r="G38" s="275" t="str">
        <x:v>Not started</x:v>
      </x:c>
    </x:row>
    <x:row r="39" ht="58" customHeight="1">
      <x:c r="A39" s="274" t="str">
        <x:v>Phase 5 — Build the demo</x:v>
      </x:c>
      <x:c r="B39" s="275" t="n">
        <x:v>38</x:v>
      </x:c>
      <x:c r="C39" s="276" t="str">
        <x:v>Build the grounded PPE app</x:v>
      </x:c>
      <x:c r="D39" s="277" t="str">
        <x:v>Input an image and selected PPE rules. Output boxes/masks, a per-person compliance table, violations, evidence IDs, explanations, and uncertainty.</x:v>
      </x:c>
      <x:c r="E39" s="277" t="str">
        <x:v>Gradio</x:v>
      </x:c>
      <x:c r="F39" s="275" t="str">
        <x:v>4–6 hrs</x:v>
      </x:c>
      <x:c r="G39" s="275" t="str">
        <x:v>Not started</x:v>
      </x:c>
    </x:row>
    <x:row r="40" ht="58" customHeight="1">
      <x:c r="A40" s="274" t="str">
        <x:v>Phase 5 — Build the demo</x:v>
      </x:c>
      <x:c r="B40" s="275" t="n">
        <x:v>39</x:v>
      </x:c>
      <x:c r="C40" s="276" t="str">
        <x:v>Add traceable evidence and safeguards</x:v>
      </x:c>
      <x:c r="D40" s="277" t="str">
        <x:v>Let users match each conclusion to a detection. Show thresholds, model versions, an uncertainty state, and a warning that this is a research prototype, not a safety guarantee.</x:v>
      </x:c>
      <x:c r="E40" s="277" t="str">
        <x:v>Gradio / app config</x:v>
      </x:c>
      <x:c r="F40" s="275" t="str">
        <x:v>3 hrs</x:v>
      </x:c>
      <x:c r="G40" s="275" t="str">
        <x:v>Not started</x:v>
      </x:c>
    </x:row>
    <x:row r="41" ht="58" customHeight="1">
      <x:c r="A41" s="274" t="str">
        <x:v>Phase 5 — Build the demo</x:v>
      </x:c>
      <x:c r="B41" s="275" t="n">
        <x:v>40</x:v>
      </x:c>
      <x:c r="C41" s="276" t="str">
        <x:v>Polish and test the interface</x:v>
      </x:c>
      <x:c r="D41" s="277" t="str">
        <x:v>Add 3–5 representative examples, loading/error states, readable labels, clear limitations, and tests for empty detections and malformed VLM output.</x:v>
      </x:c>
      <x:c r="E41" s="277" t="str">
        <x:v>Gradio</x:v>
      </x:c>
      <x:c r="F41" s="275" t="str">
        <x:v>3–4 hrs</x:v>
      </x:c>
      <x:c r="G41" s="275" t="str">
        <x:v>Not started</x:v>
      </x:c>
    </x:row>
    <x:row r="42" ht="58" customHeight="1">
      <x:c r="A42" s="274" t="str">
        <x:v>Phase 5 — Build the demo</x:v>
      </x:c>
      <x:c r="B42" s="275" t="n">
        <x:v>41</x:v>
      </x:c>
      <x:c r="C42" s="276" t="str">
        <x:v>Deploy to Hugging Face Spaces</x:v>
      </x:c>
      <x:c r="D42" s="277" t="str">
        <x:v>Deploy the lightest reliable configuration. Record CPU/GPU limitations; use a GPU or on-demand/API VLM if the free CPU Space cannot host the full pipeline.</x:v>
      </x:c>
      <x:c r="E42" s="277" t="str">
        <x:v>Hugging Face Spaces</x:v>
      </x:c>
      <x:c r="F42" s="275" t="str">
        <x:v>3–5 hrs</x:v>
      </x:c>
      <x:c r="G42" s="275" t="str">
        <x:v>Not started</x:v>
      </x:c>
    </x:row>
    <x:row r="43" ht="58" customHeight="1">
      <x:c r="A43" s="279" t="str">
        <x:v>Phase 6 — Document &amp; ship</x:v>
      </x:c>
      <x:c r="B43" s="280" t="n">
        <x:v>42</x:v>
      </x:c>
      <x:c r="C43" s="281" t="str">
        <x:v>Write the research README</x:v>
      </x:c>
      <x:c r="D43" s="282" t="str">
        <x:v>Explain the problem, research question, architecture, dataset, baselines, metrics, ablations, results, screenshots, demo, reproduction steps, and honest limitations.</x:v>
      </x:c>
      <x:c r="E43" s="282" t="str">
        <x:v>GitHub Markdown</x:v>
      </x:c>
      <x:c r="F43" s="280" t="str">
        <x:v>4–6 hrs</x:v>
      </x:c>
      <x:c r="G43" s="280" t="str">
        <x:v>Not started</x:v>
      </x:c>
    </x:row>
    <x:row r="44" ht="58" customHeight="1">
      <x:c r="A44" s="279" t="str">
        <x:v>Phase 6 — Document &amp; ship</x:v>
      </x:c>
      <x:c r="B44" s="280" t="n">
        <x:v>43</x:v>
      </x:c>
      <x:c r="C44" s="281" t="str">
        <x:v>Add reproducibility files</x:v>
      </x:c>
      <x:c r="D44" s="282" t="str">
        <x:v>Add requirements or environment lock, configs, prompts, evaluation settings, random seeds, .gitignore, licence, and instructions for obtaining data and weights.</x:v>
      </x:c>
      <x:c r="E44" s="282" t="str">
        <x:v>GitHub</x:v>
      </x:c>
      <x:c r="F44" s="280" t="str">
        <x:v>2–4 hrs</x:v>
      </x:c>
      <x:c r="G44" s="280" t="str">
        <x:v>Not started</x:v>
      </x:c>
    </x:row>
    <x:row r="45" ht="58" customHeight="1">
      <x:c r="A45" s="279" t="str">
        <x:v>Phase 6 — Document &amp; ship</x:v>
      </x:c>
      <x:c r="B45" s="280" t="n">
        <x:v>44</x:v>
      </x:c>
      <x:c r="C45" s="281" t="str">
        <x:v>Add dataset/model cards and safety limits</x:v>
      </x:c>
      <x:c r="D45" s="282" t="str">
        <x:v>Document licences, intended use, excluded use, bias, hallucination risk, false-safe risk, privacy, and the fact that the system is not suitable for automated enforcement.</x:v>
      </x:c>
      <x:c r="E45" s="282" t="str">
        <x:v>Hugging Face / GitHub</x:v>
      </x:c>
      <x:c r="F45" s="280" t="str">
        <x:v>3 hrs</x:v>
      </x:c>
      <x:c r="G45" s="280" t="str">
        <x:v>Not started</x:v>
      </x:c>
    </x:row>
    <x:row r="46" ht="58" customHeight="1">
      <x:c r="A46" s="279" t="str">
        <x:v>Phase 6 — Document &amp; ship</x:v>
      </x:c>
      <x:c r="B46" s="280" t="n">
        <x:v>45</x:v>
      </x:c>
      <x:c r="C46" s="281" t="str">
        <x:v>Push notebooks, code, and fixed results</x:v>
      </x:c>
      <x:c r="D46" s="282" t="str">
        <x:v>Push clean notebooks, app code, configs, metrics tables, and a small error gallery. Do not commit datasets, secrets, caches, large weights, or Colab runtime files.</x:v>
      </x:c>
      <x:c r="E46" s="282" t="str">
        <x:v>GitHub</x:v>
      </x:c>
      <x:c r="F46" s="280" t="str">
        <x:v>2 hrs</x:v>
      </x:c>
      <x:c r="G46" s="280" t="str">
        <x:v>Not started</x:v>
      </x:c>
    </x:row>
    <x:row r="47" ht="58" customHeight="1">
      <x:c r="A47" s="279" t="str">
        <x:v>Phase 6 — Document &amp; ship</x:v>
      </x:c>
      <x:c r="B47" s="280" t="n">
        <x:v>46</x:v>
      </x:c>
      <x:c r="C47" s="281" t="str">
        <x:v>Publish and present the project</x:v>
      </x:c>
      <x:c r="D47" s="282" t="str">
        <x:v>Share a concise post or report covering the research question, strongest result, key failure, responsible-use limits, live demo, and repository.</x:v>
      </x:c>
      <x:c r="E47" s="282" t="str">
        <x:v>LinkedIn / blog / portfolio</x:v>
      </x:c>
      <x:c r="F47" s="280" t="str">
        <x:v>2–3 hrs</x:v>
      </x:c>
      <x:c r="G47" s="280" t="str">
        <x:v>Not started</x:v>
      </x:c>
    </x:row>
  </x:sheetData>
  <x:dataValidations count="2">
    <x:dataValidation type="list" errorStyle="stop" operator="between" allowBlank="1" showDropDown="0" showInputMessage="0" showErrorMessage="0" sqref="G2:G32">
      <x:formula1>"Not started,In progress,Done"</x:formula1>
      <x:formula2>0</x:formula2>
    </x:dataValidation>
    <x:dataValidation type="list" sqref="G2:G47">
      <x:formula1>"Not started,In progress,Done"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0" style="42" hidden="0" customWidth="1"/>
    <x:col min="2" max="2" width="74" style="42" hidden="0" customWidth="1"/>
    <x:col min="3" max="3" width="62" style="42" hidden="0" customWidth="1"/>
  </x:cols>
  <x:sheetData>
    <x:row r="1" s="43" customFormat="1" ht="40" customHeight="1">
      <x:c r="A1" s="292" t="str">
        <x:v>Tool / Resource</x:v>
      </x:c>
      <x:c r="B1" s="292" t="str">
        <x:v>What it's for</x:v>
      </x:c>
      <x:c r="C1" s="292" t="str">
        <x:v>Official source</x:v>
      </x:c>
    </x:row>
    <x:row r="2" s="43" customFormat="1" ht="40" customHeight="1">
      <x:c r="A2" s="293" t="str">
        <x:v>Google Colab</x:v>
      </x:c>
      <x:c r="B2" s="247" t="str">
        <x:v>GPU notebooks for all project experiments.</x:v>
      </x:c>
      <x:c r="C2" s="247" t="str">
        <x:v>https://colab.research.google.com</x:v>
      </x:c>
    </x:row>
    <x:row r="3" s="43" customFormat="1" ht="40" customHeight="1">
      <x:c r="A3" s="294" t="str">
        <x:v>PyTorch 60-Minute Blitz</x:v>
      </x:c>
      <x:c r="B3" s="295" t="str">
        <x:v>Framework refresher covering tensors, neural networks, training, and inference.</x:v>
      </x:c>
      <x:c r="C3" s="295" t="str">
        <x:v>https://pytorch.org/tutorials/beginner/deep_learning_60min_blitz.html</x:v>
      </x:c>
    </x:row>
    <x:row r="4" s="43" customFormat="1" ht="40" customHeight="1">
      <x:c r="A4" s="293" t="str">
        <x:v>Ultralytics YOLO-World</x:v>
      </x:c>
      <x:c r="B4" s="247" t="str">
        <x:v>Existing open-vocabulary detection baseline.</x:v>
      </x:c>
      <x:c r="C4" s="247" t="str">
        <x:v>https://docs.ultralytics.com/models/yolo-world/</x:v>
      </x:c>
    </x:row>
    <x:row r="5" s="43" customFormat="1" ht="40" customHeight="1">
      <x:c r="A5" s="294" t="str">
        <x:v>Ultralytics YOLOE</x:v>
      </x:c>
      <x:c r="B5" s="295" t="str">
        <x:v>Modern text/visual-prompt open-vocabulary detection and segmentation comparison.</x:v>
      </x:c>
      <x:c r="C5" s="295" t="str">
        <x:v>https://docs.ultralytics.com/models/yoloe/</x:v>
      </x:c>
    </x:row>
    <x:row r="6" s="43" customFormat="1" ht="40" customHeight="1">
      <x:c r="A6" s="293" t="str">
        <x:v>Ultralytics validation</x:v>
      </x:c>
      <x:c r="B6" s="247" t="str">
        <x:v>Detection metrics and validation interface.</x:v>
      </x:c>
      <x:c r="C6" s="247" t="str">
        <x:v>https://docs.ultralytics.com/modes/val/</x:v>
      </x:c>
    </x:row>
    <x:row r="7" s="43" customFormat="1" ht="40" customHeight="1">
      <x:c r="A7" s="294" t="str">
        <x:v>Qwen3-VL</x:v>
      </x:c>
      <x:c r="B7" s="295" t="str">
        <x:v>Official repository for the multimodal vision-language model family.</x:v>
      </x:c>
      <x:c r="C7" s="295" t="str">
        <x:v>https://github.com/QwenLM/Qwen3-VL</x:v>
      </x:c>
    </x:row>
    <x:row r="8" s="43" customFormat="1" ht="40" customHeight="1">
      <x:c r="A8" s="293" t="str">
        <x:v>Qwen3-VL-2B-Instruct</x:v>
      </x:c>
      <x:c r="B8" s="247" t="str">
        <x:v>Lightweight VLM checkpoint selected for the Colab baseline.</x:v>
      </x:c>
      <x:c r="C8" s="247" t="str">
        <x:v>https://huggingface.co/Qwen/Qwen3-VL-2B-Instruct</x:v>
      </x:c>
    </x:row>
    <x:row r="9" s="43" customFormat="1" ht="40" customHeight="1">
      <x:c r="A9" s="294" t="str">
        <x:v>Hugging Face Transformers</x:v>
      </x:c>
      <x:c r="B9" s="295" t="str">
        <x:v>Model loading, processors, generation, quantisation, and evaluation utilities.</x:v>
      </x:c>
      <x:c r="C9" s="295" t="str">
        <x:v>https://huggingface.co/docs/transformers</x:v>
      </x:c>
    </x:row>
    <x:row r="10" s="43" customFormat="1" ht="40" customHeight="1">
      <x:c r="A10" s="293" t="str">
        <x:v>Grounding DINO</x:v>
      </x:c>
      <x:c r="B10" s="247" t="str">
        <x:v>Optional higher-cost open-set detector comparison.</x:v>
      </x:c>
      <x:c r="C10" s="247" t="str">
        <x:v>https://github.com/IDEA-Research/GroundingDINO</x:v>
      </x:c>
    </x:row>
    <x:row r="11" s="43" customFormat="1" ht="40" customHeight="1">
      <x:c r="A11" s="294" t="str">
        <x:v>Roboflow Universe</x:v>
      </x:c>
      <x:c r="B11" s="295" t="str">
        <x:v>Candidate labelled PPE datasets and annotation tooling.</x:v>
      </x:c>
      <x:c r="C11" s="295" t="str">
        <x:v>https://universe.roboflow.com</x:v>
      </x:c>
    </x:row>
    <x:row r="12" s="43" customFormat="1" ht="40" customHeight="1">
      <x:c r="A12" s="293" t="str">
        <x:v>Gradio</x:v>
      </x:c>
      <x:c r="B12" s="247" t="str">
        <x:v>Build the interactive evidence-linked PPE demo.</x:v>
      </x:c>
      <x:c r="C12" s="247" t="str">
        <x:v>https://www.gradio.app</x:v>
      </x:c>
    </x:row>
    <x:row r="13" ht="40" customHeight="1">
      <x:c r="A13" s="297" t="str">
        <x:v>Hugging Face Spaces</x:v>
      </x:c>
      <x:c r="B13" s="298" t="str">
        <x:v>Host the demo and document CPU/GPU constraints.</x:v>
      </x:c>
      <x:c r="C13" s="298" t="str">
        <x:v>https://huggingface.co/docs/hub/spaces-overview</x:v>
      </x:c>
    </x:row>
    <x:row r="14" ht="40" customHeight="1">
      <x:c r="A14" s="300" t="str">
        <x:v>GitHub</x:v>
      </x:c>
      <x:c r="B14" s="301" t="str">
        <x:v>Version notebooks, code, configs, fixed results, cards, and README.</x:v>
      </x:c>
      <x:c r="C14" s="301" t="str">
        <x:v>https://github.com/Limeng-svg/Project_Detection</x:v>
      </x:c>
    </x:row>
    <x:row r="15" ht="40" customHeight="1">
      <x:c r="A15" s="297" t="str">
        <x:v>JSON Schema</x:v>
      </x:c>
      <x:c r="B15" s="298" t="str">
        <x:v>Validate structured VLM outputs instead of relying on free-form text.</x:v>
      </x:c>
      <x:c r="C15" s="298" t="str">
        <x:v>https://json-schema.org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4" style="42" hidden="0" customWidth="1"/>
    <x:col min="2" max="2" width="112" style="42" hidden="0" customWidth="1"/>
  </x:cols>
  <x:sheetData>
    <x:row r="1" s="43" customFormat="1" ht="42" customHeight="1">
      <x:c r="A1" s="292" t="str">
        <x:v>Term</x:v>
      </x:c>
      <x:c r="B1" s="292" t="str">
        <x:v>Plain-English meaning</x:v>
      </x:c>
    </x:row>
    <x:row r="2" s="43" customFormat="1" ht="42" customHeight="1">
      <x:c r="A2" s="293" t="str">
        <x:v>Object detection</x:v>
      </x:c>
      <x:c r="B2" s="247" t="str">
        <x:v>Finding objects in an image and returning a labelled box around each one.</x:v>
      </x:c>
    </x:row>
    <x:row r="3" s="43" customFormat="1" ht="42" customHeight="1">
      <x:c r="A3" s="294" t="str">
        <x:v>Instance segmentation</x:v>
      </x:c>
      <x:c r="B3" s="295" t="str">
        <x:v>Finding each object and predicting its exact pixel-level mask, not only a rectangle.</x:v>
      </x:c>
    </x:row>
    <x:row r="4" s="43" customFormat="1" ht="42" customHeight="1">
      <x:c r="A4" s="293" t="str">
        <x:v>Bounding box</x:v>
      </x:c>
      <x:c r="B4" s="247" t="str">
        <x:v>The rectangle around an object, often stored as x-min, y-min, x-max, and y-max.</x:v>
      </x:c>
    </x:row>
    <x:row r="5" s="43" customFormat="1" ht="42" customHeight="1">
      <x:c r="A5" s="294" t="str">
        <x:v>Confidence score</x:v>
      </x:c>
      <x:c r="B5" s="295" t="str">
        <x:v>The detector's score for a prediction. It is useful for ranking and thresholding, but is not automatically a calibrated probability.</x:v>
      </x:c>
    </x:row>
    <x:row r="6" s="43" customFormat="1" ht="42" customHeight="1">
      <x:c r="A6" s="293" t="str">
        <x:v>Open-vocabulary detection</x:v>
      </x:c>
      <x:c r="B6" s="247" t="str">
        <x:v>Detecting categories specified by text or visual prompts instead of relying only on a fixed training label list.</x:v>
      </x:c>
    </x:row>
    <x:row r="7" s="43" customFormat="1" ht="42" customHeight="1">
      <x:c r="A7" s="294" t="str">
        <x:v>Vision-language model (VLM)</x:v>
      </x:c>
      <x:c r="B7" s="295" t="str">
        <x:v>A multimodal model that receives images and text and generates text or structured responses about the visual content.</x:v>
      </x:c>
    </x:row>
    <x:row r="8" s="43" customFormat="1" ht="42" customHeight="1">
      <x:c r="A8" s="293" t="str">
        <x:v>Vision encoder</x:v>
      </x:c>
      <x:c r="B8" s="247" t="str">
        <x:v>The neural-network component that converts image regions into numerical visual features or image tokens.</x:v>
      </x:c>
    </x:row>
    <x:row r="9" s="43" customFormat="1" ht="42" customHeight="1">
      <x:c r="A9" s="294" t="str">
        <x:v>Image token</x:v>
      </x:c>
      <x:c r="B9" s="295" t="str">
        <x:v>A numerical representation of an image patch or visual feature that can be processed alongside text tokens.</x:v>
      </x:c>
    </x:row>
    <x:row r="10" s="43" customFormat="1" ht="42" customHeight="1">
      <x:c r="A10" s="293" t="str">
        <x:v>Visual grounding</x:v>
      </x:c>
      <x:c r="B10" s="247" t="str">
        <x:v>Linking a word, phrase, or model conclusion to a specific region, box, point, or mask in the image.</x:v>
      </x:c>
    </x:row>
    <x:row r="11" s="43" customFormat="1" ht="42" customHeight="1">
      <x:c r="A11" s="294" t="str">
        <x:v>Prompt</x:v>
      </x:c>
      <x:c r="B11" s="295" t="str">
        <x:v>The text instruction or category list given to a detector or VLM.</x:v>
      </x:c>
    </x:row>
    <x:row r="12" s="43" customFormat="1" ht="42" customHeight="1">
      <x:c r="A12" s="293" t="str">
        <x:v>Structured output</x:v>
      </x:c>
      <x:c r="B12" s="247" t="str">
        <x:v>A response constrained to a fixed machine-readable format such as JSON with required fields.</x:v>
      </x:c>
    </x:row>
    <x:row r="13" s="43" customFormat="1" ht="42" customHeight="1">
      <x:c r="A13" s="294" t="str">
        <x:v>JSON Schema</x:v>
      </x:c>
      <x:c r="B13" s="295" t="str">
        <x:v>A formal definition of allowed JSON fields and value types, used to validate model responses.</x:v>
      </x:c>
    </x:row>
    <x:row r="14" s="43" customFormat="1" ht="42" customHeight="1">
      <x:c r="A14" s="293" t="str">
        <x:v>Hallucination</x:v>
      </x:c>
      <x:c r="B14" s="247" t="str">
        <x:v>A confident model statement that is unsupported by the image, detector evidence, or supplied rules.</x:v>
      </x:c>
    </x:row>
    <x:row r="15" s="43" customFormat="1" ht="42" customHeight="1">
      <x:c r="A15" s="294" t="str">
        <x:v>Evidence grounding</x:v>
      </x:c>
      <x:c r="B15" s="295" t="str">
        <x:v>Requiring every safety conclusion to cite real detection IDs, regions, relationships, or other visible evidence.</x:v>
      </x:c>
    </x:row>
    <x:row r="16" s="43" customFormat="1" ht="42" customHeight="1">
      <x:c r="A16" s="293" t="str">
        <x:v>Uncertainty state</x:v>
      </x:c>
      <x:c r="B16" s="247" t="str">
        <x:v>An explicit outcome used when the evidence is occluded, too small, conflicting, or otherwise insufficient for a reliable decision.</x:v>
      </x:c>
    </x:row>
    <x:row r="17" s="43" customFormat="1" ht="42" customHeight="1">
      <x:c r="A17" s="294" t="str">
        <x:v>Person–PPE association</x:v>
      </x:c>
      <x:c r="B17" s="295" t="str">
        <x:v>Determining which hardhat or vest belongs to which detected person in a multi-person scene.</x:v>
      </x:c>
    </x:row>
    <x:row r="18" s="43" customFormat="1" ht="42" customHeight="1">
      <x:c r="A18" s="293" t="str">
        <x:v>Compliance rule</x:v>
      </x:c>
      <x:c r="B18" s="247" t="str">
        <x:v>A clear rule that maps person–PPE evidence to compliant, non-compliant, or uncertain.</x:v>
      </x:c>
    </x:row>
    <x:row r="19" s="43" customFormat="1" ht="42" customHeight="1">
      <x:c r="A19" s="294" t="str">
        <x:v>False-safe rate</x:v>
      </x:c>
      <x:c r="B19" s="295" t="str">
        <x:v>The fraction of truly unsafe or non-compliant cases incorrectly reported as safe. This is a primary risk metric for the project.</x:v>
      </x:c>
    </x:row>
    <x:row r="20" s="43" customFormat="1" ht="42" customHeight="1">
      <x:c r="A20" s="293" t="str">
        <x:v>Ground truth</x:v>
      </x:c>
      <x:c r="B20" s="247" t="str">
        <x:v>Human-verified boxes, relationships, and conclusions used to evaluate model predictions.</x:v>
      </x:c>
    </x:row>
    <x:row r="21" s="43" customFormat="1" ht="42" customHeight="1">
      <x:c r="A21" s="294" t="str">
        <x:v>IoU (Intersection over Union)</x:v>
      </x:c>
      <x:c r="B21" s="295" t="str">
        <x:v>The overlap between a predicted region and the ground-truth region, from 0 to 1.</x:v>
      </x:c>
    </x:row>
    <x:row r="22" ht="42" customHeight="1">
      <x:c r="A22" s="300" t="str">
        <x:v>Precision</x:v>
      </x:c>
      <x:c r="B22" s="301" t="str">
        <x:v>Of all reported positives, the fraction that were correct.</x:v>
      </x:c>
    </x:row>
    <x:row r="23" ht="42" customHeight="1">
      <x:c r="A23" s="297" t="str">
        <x:v>Recall</x:v>
      </x:c>
      <x:c r="B23" s="298" t="str">
        <x:v>Of all real positives, the fraction the system found.</x:v>
      </x:c>
    </x:row>
    <x:row r="24" ht="42" customHeight="1">
      <x:c r="A24" s="300" t="str">
        <x:v>Macro-F1</x:v>
      </x:c>
      <x:c r="B24" s="301" t="str">
        <x:v>The average F1 score across classes, giving each class equal weight even when class frequencies differ.</x:v>
      </x:c>
    </x:row>
    <x:row r="25" ht="42" customHeight="1">
      <x:c r="A25" s="297" t="str">
        <x:v>mAP50-95</x:v>
      </x:c>
      <x:c r="B25" s="298" t="str">
        <x:v>Detection average precision averaged over IoU thresholds from 0.50 to 0.95.</x:v>
      </x:c>
    </x:row>
    <x:row r="26" ht="42" customHeight="1">
      <x:c r="A26" s="300" t="str">
        <x:v>Validation set</x:v>
      </x:c>
      <x:c r="B26" s="301" t="str">
        <x:v>A held-out split used to choose prompts, thresholds, and settings.</x:v>
      </x:c>
    </x:row>
    <x:row r="27" ht="42" customHeight="1">
      <x:c r="A27" s="297" t="str">
        <x:v>Test set</x:v>
      </x:c>
      <x:c r="B27" s="298" t="str">
        <x:v>A frozen held-out split used only after design choices are complete, to estimate final performance.</x:v>
      </x:c>
    </x:row>
    <x:row r="28" ht="42" customHeight="1">
      <x:c r="A28" s="300" t="str">
        <x:v>Data leakage</x:v>
      </x:c>
      <x:c r="B28" s="301" t="str">
        <x:v>When related or duplicated samples appear across splits and make evaluation look better than real-world generalisation.</x:v>
      </x:c>
    </x:row>
    <x:row r="29" ht="42" customHeight="1">
      <x:c r="A29" s="297" t="str">
        <x:v>Baseline</x:v>
      </x:c>
      <x:c r="B29" s="298" t="str">
        <x:v>A fixed starting system that later methods must be compared against under the same conditions.</x:v>
      </x:c>
    </x:row>
    <x:row r="30" ht="42" customHeight="1">
      <x:c r="A30" s="300" t="str">
        <x:v>Ablation study</x:v>
      </x:c>
      <x:c r="B30" s="301" t="str">
        <x:v>A controlled experiment that changes or removes one component at a time to measure its contribution.</x:v>
      </x:c>
    </x:row>
    <x:row r="31" ht="42" customHeight="1">
      <x:c r="A31" s="297" t="str">
        <x:v>Fine-tuning</x:v>
      </x:c>
      <x:c r="B31" s="298" t="str">
        <x:v>Updating a pretrained model on task-specific data rather than training from scratch.</x:v>
      </x:c>
    </x:row>
    <x:row r="32" ht="42" customHeight="1">
      <x:c r="A32" s="300" t="str">
        <x:v>LoRA / PEFT</x:v>
      </x:c>
      <x:c r="B32" s="301" t="str">
        <x:v>Parameter-efficient methods that train a small number of additional parameters instead of updating the full large model.</x:v>
      </x:c>
    </x:row>
    <x:row r="33" ht="42" customHeight="1">
      <x:c r="A33" s="297" t="str">
        <x:v>Inference</x:v>
      </x:c>
      <x:c r="B33" s="298" t="str">
        <x:v>Running a trained model on new data to produce predictions or generated answers.</x:v>
      </x:c>
    </x:row>
    <x:row r="34" ht="42" customHeight="1">
      <x:c r="A34" s="300" t="str">
        <x:v>Latency</x:v>
      </x:c>
      <x:c r="B34" s="301" t="str">
        <x:v>The time from receiving an input to producing an output.</x:v>
      </x:c>
    </x:row>
    <x:row r="35" ht="42" customHeight="1">
      <x:c r="A35" s="297" t="str">
        <x:v>Reproducibility</x:v>
      </x:c>
      <x:c r="B35" s="298" t="str">
        <x:v>The ability to rerun the same experiment using recorded data splits, code, model versions, prompts, settings, and seeds.</x:v>
      </x:c>
    </x:row>
    <x:row r="36" ht="42" customHeight="1">
      <x:c r="A36" s="300" t="str">
        <x:v>Dataset card</x:v>
      </x:c>
      <x:c r="B36" s="301" t="str">
        <x:v>A document describing data source, licence, collection, annotations, splits, bias, privacy, limitations, and intended use.</x:v>
      </x:c>
    </x:row>
    <x:row r="37" ht="42" customHeight="1">
      <x:c r="A37" s="297" t="str">
        <x:v>Model card</x:v>
      </x:c>
      <x:c r="B37" s="298" t="str">
        <x:v>A document describing a model or system's intended use, evaluation, limitations, risks, licences, and responsible-use guidance.</x:v>
      </x:c>
    </x:row>
    <x:row r="38" ht="42" customHeight="1">
      <x:c r="A38" s="300" t="str">
        <x:v>Gradio</x:v>
      </x:c>
      <x:c r="B38" s="301" t="str">
        <x:v>A Python library used to build the project's interactive web interface.</x:v>
      </x:c>
    </x:row>
    <x:row r="39" ht="42" customHeight="1">
      <x:c r="A39" s="297" t="str">
        <x:v>README</x:v>
      </x:c>
      <x:c r="B39" s="298" t="str">
        <x:v>The repository front page explaining the problem, system, results, demo, reproduction, and limitations.</x:v>
      </x:c>
    </x:row>
  </x:sheetData>
  <x:pageMargins left="0.7" right="0.7" top="0.75" bottom="0.75" header="0.3" footer="0.3"/>
</x:worksheet>
</file>